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bookViews>
    <workbookView xWindow="0" yWindow="0" windowWidth="23040" windowHeight="9192" activeTab="2"/>
  </bookViews>
  <sheets>
    <sheet name="Composants" sheetId="4" r:id="rId1"/>
    <sheet name="Poids" sheetId="45" r:id="rId2"/>
    <sheet name="List Of values" sheetId="24" r:id="rId3"/>
  </sheets>
  <functionGroups builtInGroupCount="18"/>
  <definedNames>
    <definedName name="_xlnm._FilterDatabase" localSheetId="0" hidden="1">Composants!$A$8:$DD$8</definedName>
    <definedName name="_xlnm._FilterDatabase" localSheetId="2" hidden="1">'List Of values'!$A$4:$D$2303</definedName>
    <definedName name="_xlnm._FilterDatabase" localSheetId="1" hidden="1">Poids!$A$1:$AN$35</definedName>
  </definedNames>
  <calcPr calcId="162913"/>
</workbook>
</file>

<file path=xl/calcChain.xml><?xml version="1.0" encoding="utf-8"?>
<calcChain xmlns="http://schemas.openxmlformats.org/spreadsheetml/2006/main">
  <c r="AI3" i="45" l="1"/>
  <c r="AI4" i="45"/>
  <c r="AI5" i="45"/>
  <c r="AI6" i="45"/>
  <c r="AI7" i="45"/>
  <c r="AI8" i="45"/>
  <c r="AI9" i="45"/>
  <c r="AI10" i="45"/>
  <c r="AI11" i="45"/>
  <c r="AI12" i="45"/>
  <c r="AI13" i="45"/>
  <c r="AI15" i="45"/>
  <c r="AI16" i="45"/>
  <c r="AI17" i="45"/>
  <c r="AI18" i="45"/>
  <c r="AI19" i="45"/>
  <c r="AI20" i="45"/>
  <c r="AI21" i="45"/>
  <c r="AI22" i="45"/>
  <c r="AI23" i="45"/>
  <c r="AI24" i="45"/>
  <c r="AI25" i="45"/>
  <c r="AI26" i="45"/>
  <c r="AI27" i="45"/>
  <c r="AI2" i="45"/>
  <c r="Z28" i="45" l="1"/>
  <c r="AA28" i="45" s="1"/>
  <c r="AB28" i="45" s="1"/>
  <c r="AC28" i="45" s="1"/>
  <c r="AE28" i="45" s="1"/>
  <c r="AI28" i="45" l="1"/>
  <c r="AQ15" i="45" s="1"/>
  <c r="E31" i="45" l="1"/>
  <c r="AK28" i="45"/>
  <c r="E28" i="45"/>
  <c r="AK27" i="45"/>
  <c r="AJ27" i="45"/>
  <c r="AM27" i="45" s="1"/>
  <c r="AN27" i="45" s="1"/>
  <c r="E27" i="45"/>
  <c r="AK26" i="45"/>
  <c r="AJ26" i="45"/>
  <c r="AM26" i="45" s="1"/>
  <c r="AN26" i="45" s="1"/>
  <c r="E26" i="45"/>
  <c r="AK25" i="45"/>
  <c r="AJ25" i="45"/>
  <c r="AM25" i="45" s="1"/>
  <c r="AN25" i="45" s="1"/>
  <c r="E25" i="45"/>
  <c r="AK24" i="45"/>
  <c r="AJ24" i="45"/>
  <c r="AM24" i="45" s="1"/>
  <c r="AN24" i="45" s="1"/>
  <c r="E24" i="45"/>
  <c r="AK23" i="45"/>
  <c r="AJ23" i="45"/>
  <c r="AM23" i="45" s="1"/>
  <c r="AN23" i="45" s="1"/>
  <c r="E23" i="45"/>
  <c r="AK22" i="45"/>
  <c r="AJ22" i="45"/>
  <c r="AM22" i="45" s="1"/>
  <c r="AN22" i="45" s="1"/>
  <c r="AK21" i="45"/>
  <c r="AJ21" i="45"/>
  <c r="AM21" i="45" s="1"/>
  <c r="AN21" i="45" s="1"/>
  <c r="E21" i="45"/>
  <c r="AK20" i="45"/>
  <c r="AJ20" i="45"/>
  <c r="AM20" i="45" s="1"/>
  <c r="AN20" i="45" s="1"/>
  <c r="E20" i="45"/>
  <c r="AK19" i="45"/>
  <c r="AJ19" i="45"/>
  <c r="AM19" i="45" s="1"/>
  <c r="AN19" i="45" s="1"/>
  <c r="E19" i="45"/>
  <c r="AK18" i="45"/>
  <c r="AJ18" i="45"/>
  <c r="AM18" i="45" s="1"/>
  <c r="AN18" i="45" s="1"/>
  <c r="E18" i="45"/>
  <c r="AK17" i="45"/>
  <c r="AJ17" i="45"/>
  <c r="AM17" i="45" s="1"/>
  <c r="AN17" i="45" s="1"/>
  <c r="E17" i="45"/>
  <c r="AK16" i="45"/>
  <c r="AJ16" i="45"/>
  <c r="AM16" i="45" s="1"/>
  <c r="AN16" i="45" s="1"/>
  <c r="E16" i="45"/>
  <c r="AK15" i="45"/>
  <c r="AJ15" i="45"/>
  <c r="AM15" i="45" s="1"/>
  <c r="AN15" i="45" s="1"/>
  <c r="E15" i="45"/>
  <c r="W14" i="45"/>
  <c r="V14" i="45"/>
  <c r="E14" i="45"/>
  <c r="AK13" i="45"/>
  <c r="AJ13" i="45"/>
  <c r="AM13" i="45" s="1"/>
  <c r="AN13" i="45" s="1"/>
  <c r="E13" i="45"/>
  <c r="AK12" i="45"/>
  <c r="AJ12" i="45"/>
  <c r="AM12" i="45" s="1"/>
  <c r="AN12" i="45" s="1"/>
  <c r="E12" i="45"/>
  <c r="AK11" i="45"/>
  <c r="AJ11" i="45"/>
  <c r="AM11" i="45" s="1"/>
  <c r="AN11" i="45" s="1"/>
  <c r="E11" i="45"/>
  <c r="AK10" i="45"/>
  <c r="AJ10" i="45"/>
  <c r="AM10" i="45" s="1"/>
  <c r="AN10" i="45" s="1"/>
  <c r="E10" i="45"/>
  <c r="AK9" i="45"/>
  <c r="AJ9" i="45"/>
  <c r="AM9" i="45" s="1"/>
  <c r="AN9" i="45" s="1"/>
  <c r="E9" i="45"/>
  <c r="AK8" i="45"/>
  <c r="AJ8" i="45"/>
  <c r="AM8" i="45" s="1"/>
  <c r="AN8" i="45" s="1"/>
  <c r="E8" i="45"/>
  <c r="AK7" i="45"/>
  <c r="AJ7" i="45"/>
  <c r="AM7" i="45" s="1"/>
  <c r="AN7" i="45" s="1"/>
  <c r="E7" i="45"/>
  <c r="AK6" i="45"/>
  <c r="AJ6" i="45"/>
  <c r="AM6" i="45" s="1"/>
  <c r="AN6" i="45" s="1"/>
  <c r="E6" i="45"/>
  <c r="AK5" i="45"/>
  <c r="AJ5" i="45"/>
  <c r="AM5" i="45" s="1"/>
  <c r="AN5" i="45" s="1"/>
  <c r="E5" i="45"/>
  <c r="AK4" i="45"/>
  <c r="AJ4" i="45"/>
  <c r="AM4" i="45" s="1"/>
  <c r="AN4" i="45" s="1"/>
  <c r="E4" i="45"/>
  <c r="AK3" i="45"/>
  <c r="AJ3" i="45"/>
  <c r="AM3" i="45" s="1"/>
  <c r="AN3" i="45" s="1"/>
  <c r="E3" i="45"/>
  <c r="AK2" i="45"/>
  <c r="AJ2" i="45"/>
  <c r="AM2" i="45" s="1"/>
  <c r="AN2" i="45" s="1"/>
  <c r="E2" i="45"/>
  <c r="AQ4" i="45" l="1"/>
  <c r="AI14" i="45"/>
  <c r="AQ2" i="45" s="1"/>
  <c r="AJ14" i="45"/>
  <c r="AM14" i="45" s="1"/>
  <c r="AK14" i="45"/>
  <c r="AJ28" i="45"/>
  <c r="AM28" i="45" s="1"/>
  <c r="AN28" i="45" s="1"/>
  <c r="AQ3" i="45"/>
  <c r="AN14" i="45" l="1"/>
  <c r="AQ5" i="45"/>
  <c r="AQ17" i="45"/>
  <c r="AQ16" i="45"/>
  <c r="AQ18" i="45" s="1"/>
</calcChain>
</file>

<file path=xl/sharedStrings.xml><?xml version="1.0" encoding="utf-8"?>
<sst xmlns="http://schemas.openxmlformats.org/spreadsheetml/2006/main" count="7729" uniqueCount="1708">
  <si>
    <t>Application</t>
  </si>
  <si>
    <t>Asset ID</t>
  </si>
  <si>
    <t>Asset Name</t>
  </si>
  <si>
    <t>100010.Value</t>
  </si>
  <si>
    <t>100011.Value</t>
  </si>
  <si>
    <t>100012.Value</t>
  </si>
  <si>
    <t>100149.Value</t>
  </si>
  <si>
    <t>100062.Value</t>
  </si>
  <si>
    <t>100069.Value</t>
  </si>
  <si>
    <t>100015.Value</t>
  </si>
  <si>
    <t>100134.Value</t>
  </si>
  <si>
    <t>100052.Value</t>
  </si>
  <si>
    <t>100082.Value</t>
  </si>
  <si>
    <t>100023.Value</t>
  </si>
  <si>
    <t>100024.Value</t>
  </si>
  <si>
    <t>100025.Value</t>
  </si>
  <si>
    <t>100027.Value</t>
  </si>
  <si>
    <t>100132.Value</t>
  </si>
  <si>
    <t>100032.Value</t>
  </si>
  <si>
    <t>100038.Value</t>
  </si>
  <si>
    <t>100039.Value</t>
  </si>
  <si>
    <t>100040.Value</t>
  </si>
  <si>
    <t>100018.Value</t>
  </si>
  <si>
    <t>100019.Value</t>
  </si>
  <si>
    <t>100022.Value</t>
  </si>
  <si>
    <t>100042.Value</t>
  </si>
  <si>
    <t>100043.Value</t>
  </si>
  <si>
    <t>100044.Value</t>
  </si>
  <si>
    <t>100026.Value</t>
  </si>
  <si>
    <t>100030.Value</t>
  </si>
  <si>
    <t>100031.Value</t>
  </si>
  <si>
    <t>100033.Value</t>
  </si>
  <si>
    <t>100063.Value</t>
  </si>
  <si>
    <t>100064.Value</t>
  </si>
  <si>
    <t>100065.Value</t>
  </si>
  <si>
    <t>100121.Value</t>
  </si>
  <si>
    <t>Generated by the system</t>
  </si>
  <si>
    <t>Name of Asset</t>
  </si>
  <si>
    <t>Please describe the key functions, capabilities, processes and data provided by this application.  If this is a COTS product (packaged software) or SaaS, then please include the product name and version or URL to the product version that is currently in production.</t>
  </si>
  <si>
    <t>What is the current lifecycle status of the application?</t>
  </si>
  <si>
    <t>What type of application is this?</t>
  </si>
  <si>
    <t>Please provide a link to more detailed information about the application including technical documents, user guides, operations manuals, test cases, business processes supported, etc.</t>
  </si>
  <si>
    <t>What is the business domain ( key business process area ) for this application?  This will be set to the Process Area field by default, but you can override / map to a higher level domain if desired.</t>
  </si>
  <si>
    <t>Which business processes are supported by this application?  For more than one process, you can use a semicolon to separate the values (e.g. Process_1; Process_2).  Field represents level 2 processes that map to Business Process Areas (level 1).</t>
  </si>
  <si>
    <t>What is the business criticality of this application?</t>
  </si>
  <si>
    <t>To what degree does this application influence revenue and profitability?</t>
  </si>
  <si>
    <t>What is the degree of complexity of the data security, compliance and regulatory requirements?</t>
  </si>
  <si>
    <t>Are there any restrictions for hosting the data or application outside of a company-managed data center?  This is not typical, and is different than data security and compliance requirements (including government regulations).</t>
  </si>
  <si>
    <t>Does this application have a specific Recovery Point Objective?</t>
  </si>
  <si>
    <t>Does this application have a specific Recovery Time Objective (RTO)?</t>
  </si>
  <si>
    <t>Does this application have any other significant nonfunctional requirements?</t>
  </si>
  <si>
    <t>What is the categorization of Service Level Agreements (SLAs) or Service Level Objectives (SLOs) for this application?  If no value is provided this will be derived based on Business Criticality.</t>
  </si>
  <si>
    <t>What type of disaster recover requirements and plan is in place today?</t>
  </si>
  <si>
    <t>Is the application stateless? If not, please briefly describe how state is used / persisted in the comments.  If no value is provided, the default value of 'No' will be assumed.</t>
  </si>
  <si>
    <t>How many inbound interfaces does this application have?</t>
  </si>
  <si>
    <t>How many outbound interfaces does this application have?</t>
  </si>
  <si>
    <t>Application size in terms of lines of code?</t>
  </si>
  <si>
    <t>Where are the users of this application located?</t>
  </si>
  <si>
    <t>What is the estimated number of concurrent users at peak traffic times?</t>
  </si>
  <si>
    <t>This field is calculated based on business criticality and type.  However, you can select the most appropriate option related to latency between users / external systems and this application as well as any large data files or high throughput data requirements.</t>
  </si>
  <si>
    <t>Which DevOps tools are used?</t>
  </si>
  <si>
    <t>What is the current level of maturity, especially related to continuous integration, continuous deployment, continuous testing and governance, for DevOps for this app?</t>
  </si>
  <si>
    <t>How much of the test cases have been automated?</t>
  </si>
  <si>
    <t>What is the degree of overlap between this application and other, existing applications?   Answering anything other than Low or None with trigger questions related to the names of the overlapping applications and feasibility of consolidating these applications in the target state.  Please provide your comments related to these questions if you answer Moderate or High.</t>
  </si>
  <si>
    <t>Does this application have any stability issues?</t>
  </si>
  <si>
    <t>Does this application have any performance issues?</t>
  </si>
  <si>
    <t>Does this application have any other issues that should be included in the assessment?</t>
  </si>
  <si>
    <t>What is the frequency of change for this application.  Consider number of defects, number of functional enhancements, changes to regulatory or other nonfunctional requirements.</t>
  </si>
  <si>
    <t>How many defects are created per year on average?  If possible, please provide a summary of the % of each type of defects in the comments.</t>
  </si>
  <si>
    <t>How many functional enhancements are requested per year on average?</t>
  </si>
  <si>
    <t>What is the name of the primary ecosystem?</t>
  </si>
  <si>
    <t>Unique Identifier</t>
  </si>
  <si>
    <t>Text</t>
  </si>
  <si>
    <t>textArea</t>
  </si>
  <si>
    <t>single select picklist</t>
  </si>
  <si>
    <t>text</t>
  </si>
  <si>
    <t>number</t>
  </si>
  <si>
    <t>multi select picklist</t>
  </si>
  <si>
    <t>System</t>
  </si>
  <si>
    <t>Required</t>
  </si>
  <si>
    <t>Optional</t>
  </si>
  <si>
    <t>Calculated</t>
  </si>
  <si>
    <t/>
  </si>
  <si>
    <t>Application Description</t>
  </si>
  <si>
    <t>Current Lifecycle Status</t>
  </si>
  <si>
    <t>Application Type</t>
  </si>
  <si>
    <t>Detailed Information</t>
  </si>
  <si>
    <t>Business Domain</t>
  </si>
  <si>
    <t>Business Processes</t>
  </si>
  <si>
    <t>Business Criticality</t>
  </si>
  <si>
    <t>Influences Revenue</t>
  </si>
  <si>
    <t>Data Security and Compliance</t>
  </si>
  <si>
    <t>Data Residency Requirements</t>
  </si>
  <si>
    <t>Recovery Point Objective (RPO)</t>
  </si>
  <si>
    <t>Recovery Time Objective (RTO)</t>
  </si>
  <si>
    <t>Significant Nonfunctional Requirements</t>
  </si>
  <si>
    <t>SLAs and SLOs</t>
  </si>
  <si>
    <t>Disaster Recovery Requirements</t>
  </si>
  <si>
    <t>Stateless</t>
  </si>
  <si>
    <t>Application Inbound Interfaces</t>
  </si>
  <si>
    <t>Application Outbound Interfaces</t>
  </si>
  <si>
    <t>Application Size in Lines of Code</t>
  </si>
  <si>
    <t>User Locations</t>
  </si>
  <si>
    <t>Estimated Number of Users</t>
  </si>
  <si>
    <t>Data Transfer Requirements</t>
  </si>
  <si>
    <t>DevOps Tooling</t>
  </si>
  <si>
    <t>DevOps Maturity Level</t>
  </si>
  <si>
    <t>Test Automation %</t>
  </si>
  <si>
    <t>Degree of Functional Overlap with Other Applications</t>
  </si>
  <si>
    <t>Stability Issues</t>
  </si>
  <si>
    <t>Performance Issues</t>
  </si>
  <si>
    <t>Other Issues</t>
  </si>
  <si>
    <t>Frequency of Change</t>
  </si>
  <si>
    <t>Number of Defects Per Year</t>
  </si>
  <si>
    <t>Number of Enhancements Per Year</t>
  </si>
  <si>
    <t>Ecosystem Name</t>
  </si>
  <si>
    <t>Active (In Production)</t>
  </si>
  <si>
    <t>Custom</t>
  </si>
  <si>
    <t>Medium</t>
  </si>
  <si>
    <t>Low</t>
  </si>
  <si>
    <t>No</t>
  </si>
  <si>
    <t>Yes</t>
  </si>
  <si>
    <t>High</t>
  </si>
  <si>
    <t>N/A</t>
  </si>
  <si>
    <t>Moderate</t>
  </si>
  <si>
    <t>Infrastructure</t>
  </si>
  <si>
    <t>Infrastructure Type</t>
  </si>
  <si>
    <t>Environment Type</t>
  </si>
  <si>
    <t>Infrastructure Role</t>
  </si>
  <si>
    <t>Virtual Server</t>
  </si>
  <si>
    <t>Development</t>
  </si>
  <si>
    <t>Database</t>
  </si>
  <si>
    <t>Staging</t>
  </si>
  <si>
    <t>Web</t>
  </si>
  <si>
    <t>Production</t>
  </si>
  <si>
    <t>Test</t>
  </si>
  <si>
    <t>Oracle</t>
  </si>
  <si>
    <t>Open Source</t>
  </si>
  <si>
    <t>Interface Criticality</t>
  </si>
  <si>
    <t>Interface Type</t>
  </si>
  <si>
    <t>Interface Frequency</t>
  </si>
  <si>
    <t>Interface Response Time Category</t>
  </si>
  <si>
    <t>List Of values</t>
  </si>
  <si>
    <t>FIELD</t>
  </si>
  <si>
    <t>FIELD ID</t>
  </si>
  <si>
    <t>PICKLIST LABEL</t>
  </si>
  <si>
    <t>PICKLIST VALUE</t>
  </si>
  <si>
    <t>Conception / Planning / Development Phase</t>
  </si>
  <si>
    <t>Inactive (Already Decommissioned)</t>
  </si>
  <si>
    <t>Inactive (Needs to be Decommissioned)</t>
  </si>
  <si>
    <t>Major Change Planned / In Progress</t>
  </si>
  <si>
    <t>Managed Service (Hosted by 3rd Party)</t>
  </si>
  <si>
    <t>Other</t>
  </si>
  <si>
    <t>COTS</t>
  </si>
  <si>
    <t>Desktop</t>
  </si>
  <si>
    <t>Hardware Appliance</t>
  </si>
  <si>
    <t>Mainframe</t>
  </si>
  <si>
    <t>Managed Service</t>
  </si>
  <si>
    <t>SaaS</t>
  </si>
  <si>
    <t>Big Data</t>
  </si>
  <si>
    <t>Data Warehouse</t>
  </si>
  <si>
    <t>IoT</t>
  </si>
  <si>
    <t>Serverless</t>
  </si>
  <si>
    <t>ERP</t>
  </si>
  <si>
    <t>Cloud Enabled</t>
  </si>
  <si>
    <t>Cloud Native</t>
  </si>
  <si>
    <t>Security</t>
  </si>
  <si>
    <t>COTS - Technical</t>
  </si>
  <si>
    <t>Custom - Technical</t>
  </si>
  <si>
    <t>Hybrid - Business</t>
  </si>
  <si>
    <t>Hybrid - Technical</t>
  </si>
  <si>
    <t>Web Front End Mainframe Backend</t>
  </si>
  <si>
    <t>Integration</t>
  </si>
  <si>
    <t>Application Level of Customization</t>
  </si>
  <si>
    <t>No Customization</t>
  </si>
  <si>
    <t>N/A (Custom Application)</t>
  </si>
  <si>
    <t>N/A (Hardware Appliance)</t>
  </si>
  <si>
    <t>N/A (Already Decommissioned)</t>
  </si>
  <si>
    <t>Very High</t>
  </si>
  <si>
    <t>Not Critical</t>
  </si>
  <si>
    <t>Business Value of Exposing API(s)</t>
  </si>
  <si>
    <t>Asia Pacific</t>
  </si>
  <si>
    <t>Europe</t>
  </si>
  <si>
    <t>North America</t>
  </si>
  <si>
    <t>South America</t>
  </si>
  <si>
    <t>United States of America</t>
  </si>
  <si>
    <t>Global</t>
  </si>
  <si>
    <t>Usage Trend</t>
  </si>
  <si>
    <t>Substantially Growing</t>
  </si>
  <si>
    <t>Growing</t>
  </si>
  <si>
    <t>Steady</t>
  </si>
  <si>
    <t>Shrinking</t>
  </si>
  <si>
    <t>Very Low</t>
  </si>
  <si>
    <t>Low / None</t>
  </si>
  <si>
    <t>None</t>
  </si>
  <si>
    <t>Informal</t>
  </si>
  <si>
    <t>Silver</t>
  </si>
  <si>
    <t>Gold</t>
  </si>
  <si>
    <t>Platinum</t>
  </si>
  <si>
    <t>Out of Support Technologies</t>
  </si>
  <si>
    <t>Technology Constraints or Issues</t>
  </si>
  <si>
    <t>Interface Complexity</t>
  </si>
  <si>
    <t>Application Overall Affinity</t>
  </si>
  <si>
    <t>On Cloud</t>
  </si>
  <si>
    <t>N/A (Consolidate)</t>
  </si>
  <si>
    <t>N/A (Retire)</t>
  </si>
  <si>
    <t>N/A (Keep)</t>
  </si>
  <si>
    <t>Application Calculated Disposition</t>
  </si>
  <si>
    <t>Buy</t>
  </si>
  <si>
    <t>Consolidate</t>
  </si>
  <si>
    <t>Evergreen</t>
  </si>
  <si>
    <t>Extend to Hybrid Cloud</t>
  </si>
  <si>
    <t>Keep</t>
  </si>
  <si>
    <t>Migrate</t>
  </si>
  <si>
    <t>Retire</t>
  </si>
  <si>
    <t>Transform</t>
  </si>
  <si>
    <t>Physical Server</t>
  </si>
  <si>
    <t>Cloud Service</t>
  </si>
  <si>
    <t>Disaster Recovery</t>
  </si>
  <si>
    <t>Technical Service</t>
  </si>
  <si>
    <t>Infrastructure Interface Complexity</t>
  </si>
  <si>
    <t>Operating System Category</t>
  </si>
  <si>
    <t>Standard</t>
  </si>
  <si>
    <t>Downlevel</t>
  </si>
  <si>
    <t>Non-Standard</t>
  </si>
  <si>
    <t>Infrastructure Platform Standardization Category</t>
  </si>
  <si>
    <t>Standard Platform</t>
  </si>
  <si>
    <t>Standard Software on Downlevel OS</t>
  </si>
  <si>
    <t>Non-Standard Software on Standard OS</t>
  </si>
  <si>
    <t>Non-Standard Software on Downlevel OS</t>
  </si>
  <si>
    <t>Standard Software on Non-Standard OS</t>
  </si>
  <si>
    <t>Non-Standard Software on Non-Standard OS</t>
  </si>
  <si>
    <t>Infrastructure Calculated Disposition</t>
  </si>
  <si>
    <t>Infrastructure Override Disposition</t>
  </si>
  <si>
    <t>Infrastructure Final Disposition</t>
  </si>
  <si>
    <t>Business Objectives</t>
  </si>
  <si>
    <t>0 - Cost Reduction</t>
  </si>
  <si>
    <t>0</t>
  </si>
  <si>
    <t>1 - Disrupt the Industry</t>
  </si>
  <si>
    <t>1</t>
  </si>
  <si>
    <t>2 - Business Agility</t>
  </si>
  <si>
    <t>2</t>
  </si>
  <si>
    <t>3 - Enable Innovation</t>
  </si>
  <si>
    <t>3</t>
  </si>
  <si>
    <t>4 - Reduce Risk</t>
  </si>
  <si>
    <t>4</t>
  </si>
  <si>
    <t>5 - Grow Revenue</t>
  </si>
  <si>
    <t>Other (please specify in comments)</t>
  </si>
  <si>
    <t>Industry</t>
  </si>
  <si>
    <t>Banking</t>
  </si>
  <si>
    <t>Chemical, Oil &amp; Petroleum</t>
  </si>
  <si>
    <t>Consumer Electronics</t>
  </si>
  <si>
    <t>Consumer Products</t>
  </si>
  <si>
    <t>Education</t>
  </si>
  <si>
    <t>Energy &amp; Utilities</t>
  </si>
  <si>
    <t>Financial Market</t>
  </si>
  <si>
    <t>Government /Public Sector</t>
  </si>
  <si>
    <t>Health Care</t>
  </si>
  <si>
    <t>Industrial Product</t>
  </si>
  <si>
    <t>Insurance</t>
  </si>
  <si>
    <t>Lifescience / Phamaceutical</t>
  </si>
  <si>
    <t>Media &amp; Entertainment</t>
  </si>
  <si>
    <t>Retail</t>
  </si>
  <si>
    <t>Telecom</t>
  </si>
  <si>
    <t>Transport</t>
  </si>
  <si>
    <t>Travel</t>
  </si>
  <si>
    <t>Geography</t>
  </si>
  <si>
    <t>Australia</t>
  </si>
  <si>
    <t>Brazil</t>
  </si>
  <si>
    <t>Bzazil</t>
  </si>
  <si>
    <t>Canada</t>
  </si>
  <si>
    <t>China</t>
  </si>
  <si>
    <t>France</t>
  </si>
  <si>
    <t>Germany</t>
  </si>
  <si>
    <t>India</t>
  </si>
  <si>
    <t>Japan</t>
  </si>
  <si>
    <t>Malaysia</t>
  </si>
  <si>
    <t>Mexico</t>
  </si>
  <si>
    <t>Middle East</t>
  </si>
  <si>
    <t>Singapore</t>
  </si>
  <si>
    <t>Spain</t>
  </si>
  <si>
    <t>UK</t>
  </si>
  <si>
    <t>USA</t>
  </si>
  <si>
    <t>Others</t>
  </si>
  <si>
    <t>Revenue</t>
  </si>
  <si>
    <t>$500 - $999m</t>
  </si>
  <si>
    <t>$1bn - $4.9 bn</t>
  </si>
  <si>
    <t>$5bn - $9.9 bn</t>
  </si>
  <si>
    <t>$10bn - $20 bn</t>
  </si>
  <si>
    <t>Over  $20 bn</t>
  </si>
  <si>
    <t>Over $20 bn</t>
  </si>
  <si>
    <t>IT Spending</t>
  </si>
  <si>
    <t>$5m - $19.9m</t>
  </si>
  <si>
    <t>$20m - $49.9m</t>
  </si>
  <si>
    <t>$50m - $99.9m</t>
  </si>
  <si>
    <t>$100m - $199.9m</t>
  </si>
  <si>
    <t>$200m - $499.9m</t>
  </si>
  <si>
    <t>Over $500m</t>
  </si>
  <si>
    <t>Hybrid Cloud Adoption</t>
  </si>
  <si>
    <t>Not Applicable</t>
  </si>
  <si>
    <t>Enable access to skills / capabilities we would not otherwise have access to</t>
  </si>
  <si>
    <t>Provide opportunities to reach new customers</t>
  </si>
  <si>
    <t>Provide opportunities to enter new markets</t>
  </si>
  <si>
    <t>Meet customer expectations more readily</t>
  </si>
  <si>
    <t>Accelerate creation of new business models</t>
  </si>
  <si>
    <t>Facilitate innovation</t>
  </si>
  <si>
    <t>Expand collaboration with customer and business partners more readily</t>
  </si>
  <si>
    <t>Enhance operational efficiencies</t>
  </si>
  <si>
    <t>Manage and allocate technology spending effectively</t>
  </si>
  <si>
    <t>Lower total cost of ownership</t>
  </si>
  <si>
    <t>Workload movement motivation</t>
  </si>
  <si>
    <t>Alignment with strategic business goal</t>
  </si>
  <si>
    <t>Resource and skill availability</t>
  </si>
  <si>
    <t>Estimated return on investment</t>
  </si>
  <si>
    <t>Improvement in customer/user satisfaction metrics</t>
  </si>
  <si>
    <t>Ease of implementation/complexity</t>
  </si>
  <si>
    <t>Timing/speed to market</t>
  </si>
  <si>
    <t>Cost</t>
  </si>
  <si>
    <t>Security and compliance requirements</t>
  </si>
  <si>
    <t>Likelihood of success (e.g. probability of achieving desired outcomes)</t>
  </si>
  <si>
    <t>Mix between internal and external orientation</t>
  </si>
  <si>
    <t>Increased Existing Revenue</t>
  </si>
  <si>
    <t>Did Not Achieve</t>
  </si>
  <si>
    <t>Slightly Achieved</t>
  </si>
  <si>
    <t>Moderately Achieved</t>
  </si>
  <si>
    <t>Mostly Achieved</t>
  </si>
  <si>
    <t>Significantly Achieved</t>
  </si>
  <si>
    <t>Don't Know</t>
  </si>
  <si>
    <t>Created new revenue sources</t>
  </si>
  <si>
    <t>Reduced operational costs</t>
  </si>
  <si>
    <t>Created and supported new business models</t>
  </si>
  <si>
    <t>Expand into product / services portfolio</t>
  </si>
  <si>
    <t>Provided access to external capabilities and resources</t>
  </si>
  <si>
    <t>Facilitated proof of concept development</t>
  </si>
  <si>
    <t>Reduced time to market</t>
  </si>
  <si>
    <t>Automated resources provisioning</t>
  </si>
  <si>
    <t>Improved customer experience</t>
  </si>
  <si>
    <t>Expanded into new industries</t>
  </si>
  <si>
    <t>Cloud Adoption Challenges</t>
  </si>
  <si>
    <t>Increased risk of operational disruption due to new cloud-based solutions</t>
  </si>
  <si>
    <t>Lack of availability of in- house skills to design proper architecture</t>
  </si>
  <si>
    <t>Lack of availability of in-house skills to manage cloud services</t>
  </si>
  <si>
    <t>Lack of availability of cloud-based solutions specific to my organization's needs</t>
  </si>
  <si>
    <t>Resistance to change the current status quo</t>
  </si>
  <si>
    <t>Financial constraints such as available funding</t>
  </si>
  <si>
    <t>Cost structure CapEx vs. OpEx considerations</t>
  </si>
  <si>
    <t>Traditional mindset of IT components "ownership"</t>
  </si>
  <si>
    <t>Lack of discipline in enterprise architecture governance</t>
  </si>
  <si>
    <t>Perceived security or compliance risks and requirements</t>
  </si>
  <si>
    <t>Cloud Selection Options</t>
  </si>
  <si>
    <t>Improvement to our operational efficiency</t>
  </si>
  <si>
    <t>Accessibility to complementary skills that my organization lacks</t>
  </si>
  <si>
    <t>Development of entirely new revenue streams</t>
  </si>
  <si>
    <t>Creation of more compelling experiences for our customers</t>
  </si>
  <si>
    <t>Acceleration of development of new products and services</t>
  </si>
  <si>
    <t>Willingness to partner to maximize the impact of overall technology investment</t>
  </si>
  <si>
    <t>Possession of specific technologies my organization lacks</t>
  </si>
  <si>
    <t>Commitment to open technology and industry standards</t>
  </si>
  <si>
    <t>Ability to provide and support end-to-end solution and systems integration</t>
  </si>
  <si>
    <t>Challenge Hybrid Cloud Adoption</t>
  </si>
  <si>
    <t>Incomplete hybrid cloud adoption strategy, vision and understanding</t>
  </si>
  <si>
    <t>Senior leadership team lacks interest and alignment</t>
  </si>
  <si>
    <t>Too many compliance and regulatory concerns</t>
  </si>
  <si>
    <t>Lack of appropriate in- house skill sets</t>
  </si>
  <si>
    <t>Lack of trust between business units and IT</t>
  </si>
  <si>
    <t>Misalignment of strategic objectives</t>
  </si>
  <si>
    <t>Integration to existing core systems</t>
  </si>
  <si>
    <t>Interoperability among different IT systems and applications</t>
  </si>
  <si>
    <t>Constraints of existing legacy on-premise investments</t>
  </si>
  <si>
    <t>Workload Type</t>
  </si>
  <si>
    <t>Client / Server App (Client Workload)</t>
  </si>
  <si>
    <t>COTS (App Workload)</t>
  </si>
  <si>
    <t>COTS (Database Workload)</t>
  </si>
  <si>
    <t>COTS (Entire System)</t>
  </si>
  <si>
    <t>Custom Web App (App Workload)</t>
  </si>
  <si>
    <t>Custom Web App (Entire System)</t>
  </si>
  <si>
    <t>Relational Database</t>
  </si>
  <si>
    <t>Database-as-a-Service (DBaaS)</t>
  </si>
  <si>
    <t>Desktop Application</t>
  </si>
  <si>
    <t>Mainframe (App Workload)</t>
  </si>
  <si>
    <t>Mainframe (Entire System)</t>
  </si>
  <si>
    <t>NoSQL Database</t>
  </si>
  <si>
    <t>Software-as-a-Service (SaaS)</t>
  </si>
  <si>
    <t>Web Server</t>
  </si>
  <si>
    <t>Middleware - Messaging</t>
  </si>
  <si>
    <t>Middleware - Integration</t>
  </si>
  <si>
    <t>Middleware - Other</t>
  </si>
  <si>
    <t>Workload Environment Type</t>
  </si>
  <si>
    <t>Workload Interface Complexity</t>
  </si>
  <si>
    <t>Stand-alone Application</t>
  </si>
  <si>
    <t>Moderately Complex but conforms to SOA</t>
  </si>
  <si>
    <t>Highly Complex w/ multiple integrations not yet in SOA</t>
  </si>
  <si>
    <t>Extremely Complex</t>
  </si>
  <si>
    <t>Scalability and Elasticity Requirements</t>
  </si>
  <si>
    <t>Predictable</t>
  </si>
  <si>
    <t>Temporary</t>
  </si>
  <si>
    <t>Static</t>
  </si>
  <si>
    <t>Workload Data Transfer Requirements</t>
  </si>
  <si>
    <t>Workload SLAs and SLOs</t>
  </si>
  <si>
    <t>No degree as no Service Level Agreements (SLAs) are in place or planned for this workload. Workload downtime or degradation does not materially affect business results.</t>
  </si>
  <si>
    <t>SLAs are being considered or SLOs are defined.  Requirements for performance and support NFRs are starting to emerge as the relationship between workload and its impact on business results is becoming recognized.</t>
  </si>
  <si>
    <t>Some degree as formal SLAs are in place for this workload to ensure predictable (i.e. silver) levels of performance and availability.  Workload downtime or degradation has some affect on business results.</t>
  </si>
  <si>
    <t>High degree as formal SLAs are used to ensure high (i.e. gold) levels of performance and availability.  Workload downtime or degradation has a high impact on business results.</t>
  </si>
  <si>
    <t>Great degree as formal SLAs are used to ensure superior (i.e platinum) levels of performance and availability.  Workload downtime or degradation is unacceptable given the business critical nature of this workload.</t>
  </si>
  <si>
    <t>Business Agility Benefit</t>
  </si>
  <si>
    <t>Significant business value exists.  Without rapid deployment, business results are negatively affected, including competitive exposure and/or loss of revenue.</t>
  </si>
  <si>
    <t>Rapid deployment enables the incremental introduction of function which matches marketplace demands.</t>
  </si>
  <si>
    <t>Rapid deployment reduces risk and delivers cost savings.</t>
  </si>
  <si>
    <t>Some cost savings are expected by rapid deployment but business value is not significant.</t>
  </si>
  <si>
    <t>No benefit to rapid deployment.</t>
  </si>
  <si>
    <t>Workload Data Security and Compliance</t>
  </si>
  <si>
    <t>Minimal control is needed.  This workload does not require rigorous risk management.</t>
  </si>
  <si>
    <t>Moderate control is needed.  There are some compliance and regulatory requirements, but not too severe.  Impact of breech will be limited.</t>
  </si>
  <si>
    <t>Very strong control is needed to follow compliance or (industry) regulatory requirements.  Transparent audit capability is mandatory.  Any breech will result in direct negative business impact or large scale social accident.</t>
  </si>
  <si>
    <t>Workload Calculated Disposition</t>
  </si>
  <si>
    <t>Application Override Disposition</t>
  </si>
  <si>
    <t>Workload Final Disposition</t>
  </si>
  <si>
    <t>Workload Transformation Effort</t>
  </si>
  <si>
    <t>Production Infrastructure Location Type</t>
  </si>
  <si>
    <t>Company Data Center</t>
  </si>
  <si>
    <t>Company Private Cloud</t>
  </si>
  <si>
    <t>Off Premises Dedicated Cloud</t>
  </si>
  <si>
    <t>Public Cloud</t>
  </si>
  <si>
    <t>Hybrid Cloud</t>
  </si>
  <si>
    <t>SaaS (Off Premises Public Cloud)</t>
  </si>
  <si>
    <t>Store / Branch / Plant</t>
  </si>
  <si>
    <t>No Infrastructure Found</t>
  </si>
  <si>
    <t>vh</t>
  </si>
  <si>
    <t>Cloud Workload Type</t>
  </si>
  <si>
    <t>Beanstalk</t>
  </si>
  <si>
    <t>Containerized</t>
  </si>
  <si>
    <t>IaaS</t>
  </si>
  <si>
    <t>PaaS</t>
  </si>
  <si>
    <t>Relational Database Service (RDS)</t>
  </si>
  <si>
    <t>Not a Cloud Service</t>
  </si>
  <si>
    <t>Workload Override Disposition</t>
  </si>
  <si>
    <t>Technical Objectives</t>
  </si>
  <si>
    <t>0 - Mature DevOps capabilities</t>
  </si>
  <si>
    <t>1 - Establish a 'Cloud First' culture for new app development</t>
  </si>
  <si>
    <t>2 - Reduce dependency on the mainframe</t>
  </si>
  <si>
    <t>3 - Reimagine data with multicloud and AI</t>
  </si>
  <si>
    <t>4 - Establish technical governance and target operating model for the cloud enablement program</t>
  </si>
  <si>
    <t>5 - Grow skills in Microservices, APIs, Digital / cloud native technologies</t>
  </si>
  <si>
    <t>5</t>
  </si>
  <si>
    <t>Other (please add to comments)</t>
  </si>
  <si>
    <t>Application Final Disposition</t>
  </si>
  <si>
    <t>UAT</t>
  </si>
  <si>
    <t>Risk Status</t>
  </si>
  <si>
    <t>New</t>
  </si>
  <si>
    <t>Open</t>
  </si>
  <si>
    <t>On Hold</t>
  </si>
  <si>
    <t>Closed</t>
  </si>
  <si>
    <t>Inactive</t>
  </si>
  <si>
    <t>Risk Probability</t>
  </si>
  <si>
    <t>Risk Impact</t>
  </si>
  <si>
    <t>Risk Rating</t>
  </si>
  <si>
    <t>Risk Response Plan</t>
  </si>
  <si>
    <t>Avoid</t>
  </si>
  <si>
    <t>Mitigate</t>
  </si>
  <si>
    <t>Accept</t>
  </si>
  <si>
    <t>Transfer</t>
  </si>
  <si>
    <t>Assumption Type</t>
  </si>
  <si>
    <t>Architecture &amp; Technologies</t>
  </si>
  <si>
    <t>ADMI Assessment</t>
  </si>
  <si>
    <t>Financial Model</t>
  </si>
  <si>
    <t>Operating Model</t>
  </si>
  <si>
    <t>Portfolio Analysis</t>
  </si>
  <si>
    <t>Roadmap</t>
  </si>
  <si>
    <t>Ticket Analytics</t>
  </si>
  <si>
    <t>Transformation Strategy</t>
  </si>
  <si>
    <t>Cost Reduction</t>
  </si>
  <si>
    <t>Disrupt the Industry</t>
  </si>
  <si>
    <t>Business Agility</t>
  </si>
  <si>
    <t>Enable Innovation</t>
  </si>
  <si>
    <t>Reduce Risk</t>
  </si>
  <si>
    <t>Grow Revenue</t>
  </si>
  <si>
    <t>Reduce manual effort and cycle time for provisioning, development and deployment</t>
  </si>
  <si>
    <t>Establish a 'Cloud First' culture for new app development</t>
  </si>
  <si>
    <t>Reduce dependency on the mainframe</t>
  </si>
  <si>
    <t>Transition to ITaaS</t>
  </si>
  <si>
    <t>Establish technical governance and target operating model for the cloud enablement program</t>
  </si>
  <si>
    <t>Implement a Cloud Management Platform including security, monitoring and integration</t>
  </si>
  <si>
    <t>Grow skills in Microservices, DevOps and / or cloud native technologies</t>
  </si>
  <si>
    <t>Design and build a private cloud</t>
  </si>
  <si>
    <t>Opportunity Origin</t>
  </si>
  <si>
    <t>Client Initiatied Conversation</t>
  </si>
  <si>
    <t>Client RFI / RFP</t>
  </si>
  <si>
    <t>Contract Renewal</t>
  </si>
  <si>
    <t>Pro-active Selling</t>
  </si>
  <si>
    <t>Application Management Services (AMS)</t>
  </si>
  <si>
    <t>IBM is the only external AMS provider</t>
  </si>
  <si>
    <t>IBM is one of multiple AMS providers</t>
  </si>
  <si>
    <t>The client has AMS providers but IBM does not manage anything currently</t>
  </si>
  <si>
    <t>The client does all AMS in house</t>
  </si>
  <si>
    <t>Infrastructure Operations</t>
  </si>
  <si>
    <t>Client is fully outsourced to IBM</t>
  </si>
  <si>
    <t>Client is partially outsourced to IBM</t>
  </si>
  <si>
    <t>Client is outsourced, but not to IBM</t>
  </si>
  <si>
    <t>Client performs all infrastructure operations themselves</t>
  </si>
  <si>
    <t>IBM Security Services</t>
  </si>
  <si>
    <t>I Don't Know</t>
  </si>
  <si>
    <t>Other Services</t>
  </si>
  <si>
    <t>Current Cloud Strategy</t>
  </si>
  <si>
    <t>No Cloud Strategy Exists</t>
  </si>
  <si>
    <t>Client Has An Incomplete Strategy</t>
  </si>
  <si>
    <t>Client Wants To Focus on Private Cloud</t>
  </si>
  <si>
    <t>Client Wants To Focus on Private Cloud Only</t>
  </si>
  <si>
    <t>Client Has A Multi-Cloud Strategy</t>
  </si>
  <si>
    <t>Client Wants To Focus On Business Innovation</t>
  </si>
  <si>
    <t>Available Cloud Strategy Artifacts</t>
  </si>
  <si>
    <t>IT Portfolio Inventory (Applications and Infrastructure)</t>
  </si>
  <si>
    <t>Cloud Affinity and Disposition Model</t>
  </si>
  <si>
    <t>Hybrid Cloud Architecture Framework</t>
  </si>
  <si>
    <t>Target Operating Model Blueprint</t>
  </si>
  <si>
    <t>Readiness Assessment (People, Process, Technology)</t>
  </si>
  <si>
    <t>High Level Business Case</t>
  </si>
  <si>
    <t>Transformation Roadmap</t>
  </si>
  <si>
    <t>Cloud Strategy Scope</t>
  </si>
  <si>
    <t>Assumption Confidence</t>
  </si>
  <si>
    <t>Fact</t>
  </si>
  <si>
    <t>Landing Zone - IBM Public Cloud</t>
  </si>
  <si>
    <t>Already Using IBM Public Cloud</t>
  </si>
  <si>
    <t>No consumption today, probability of future consumption is High</t>
  </si>
  <si>
    <t>No consumption today, probability of future consumption is Moderate</t>
  </si>
  <si>
    <t>No consumption today, probability of future consumption is Low</t>
  </si>
  <si>
    <t>No consumption today, probability of future consumption is TBD</t>
  </si>
  <si>
    <t>Landing Zone - IBM Dedicated Cloud</t>
  </si>
  <si>
    <t>Maybe</t>
  </si>
  <si>
    <t>Already Using IBM Dedicated Cloud</t>
  </si>
  <si>
    <t>Proof of Value Migration to Cloud</t>
  </si>
  <si>
    <t>Not at this time</t>
  </si>
  <si>
    <t>Already Completed a Proof of Value Migration</t>
  </si>
  <si>
    <t>Cloud Migrations</t>
  </si>
  <si>
    <t>Yes (include migration scope)</t>
  </si>
  <si>
    <t>Already Completed</t>
  </si>
  <si>
    <t>Landing Zone - IBM Cloud Private</t>
  </si>
  <si>
    <t>Already Using ICp</t>
  </si>
  <si>
    <t>Financial Constraints</t>
  </si>
  <si>
    <t>Schedule Constraints</t>
  </si>
  <si>
    <t>Technical Constraints</t>
  </si>
  <si>
    <t>Cloud Strategy Offering</t>
  </si>
  <si>
    <t>Migrate to Cloud Offering</t>
  </si>
  <si>
    <t>AppOps Offering</t>
  </si>
  <si>
    <t>ABB Current Implementation Status</t>
  </si>
  <si>
    <t>Does not exist</t>
  </si>
  <si>
    <t>Partially implemented, major gaps exist</t>
  </si>
  <si>
    <t>Partially implemented, minor gaps exist</t>
  </si>
  <si>
    <t>Fully implemented</t>
  </si>
  <si>
    <t>ABB Current Demand</t>
  </si>
  <si>
    <t>ABB Target Maturity</t>
  </si>
  <si>
    <t>ABB Implementation Complexity</t>
  </si>
  <si>
    <t>None (Fully Implemented)</t>
  </si>
  <si>
    <t>N/A (Not Required)</t>
  </si>
  <si>
    <t>ABB Financial Treatment</t>
  </si>
  <si>
    <t>Include In Financial Assessment</t>
  </si>
  <si>
    <t>Don't Include In Financial Assessment</t>
  </si>
  <si>
    <t>Application Platform Standardization Category</t>
  </si>
  <si>
    <t>Standard and Non-Standard Software on Standard OS</t>
  </si>
  <si>
    <t>Standard and Non-Standard Software on Standard and Downlevel OS</t>
  </si>
  <si>
    <t>Standard and Non-Standard Software on Standard and Non-Standard OS</t>
  </si>
  <si>
    <t>Potential Public Clouds</t>
  </si>
  <si>
    <t>IBM Cloud</t>
  </si>
  <si>
    <t>AWS</t>
  </si>
  <si>
    <t>Azure</t>
  </si>
  <si>
    <t>Google Cloud Platform</t>
  </si>
  <si>
    <t>Potential Dedicated Clouds</t>
  </si>
  <si>
    <t>Landing Zone - Private Cloud</t>
  </si>
  <si>
    <t>Client Has a Private Cloud</t>
  </si>
  <si>
    <t>Client Has Highly Virtualized Environment</t>
  </si>
  <si>
    <t>Client Wants to Build a New Private Cloud</t>
  </si>
  <si>
    <t>Client Does Not Want To Build A New Private Cloud</t>
  </si>
  <si>
    <t>Preferred Public Cloud Provider</t>
  </si>
  <si>
    <t>On-premises Private Cloud</t>
  </si>
  <si>
    <t>Off-premises Dedicated Cloud</t>
  </si>
  <si>
    <t>Assumption Visibility</t>
  </si>
  <si>
    <t>Visible to All</t>
  </si>
  <si>
    <t>Visible to Core</t>
  </si>
  <si>
    <t>Not Visible</t>
  </si>
  <si>
    <t>Business Value of Containerization</t>
  </si>
  <si>
    <t>N/A (On Cloud)</t>
  </si>
  <si>
    <t>Effort to Containerize</t>
  </si>
  <si>
    <t>N/A (Buy)</t>
  </si>
  <si>
    <t>N/A (Already Containerized)</t>
  </si>
  <si>
    <t>Cloud Strategy Summary</t>
  </si>
  <si>
    <t>Multicloud Including All Deployment Options</t>
  </si>
  <si>
    <t>Multi-cloud Including All Deployment Options</t>
  </si>
  <si>
    <t>Multi-cloud Excluding Private Cloud</t>
  </si>
  <si>
    <t>Only Dedicated and Private Clouds</t>
  </si>
  <si>
    <t>Only Private Cloud</t>
  </si>
  <si>
    <t>No Cloud Allowed</t>
  </si>
  <si>
    <t>Not Sure</t>
  </si>
  <si>
    <t>SaaS Availability</t>
  </si>
  <si>
    <t>TBD</t>
  </si>
  <si>
    <t>Application Containerization Summary</t>
  </si>
  <si>
    <t>Containerize All Workloads</t>
  </si>
  <si>
    <t>Containerize Some Workloads</t>
  </si>
  <si>
    <t>Do Not Containerize</t>
  </si>
  <si>
    <t>Need More Data</t>
  </si>
  <si>
    <t>Infrastructure Containerization Approach</t>
  </si>
  <si>
    <t>Containerize As Is</t>
  </si>
  <si>
    <t>Containerize After Remediation</t>
  </si>
  <si>
    <t>Containerize After Re-Architecting</t>
  </si>
  <si>
    <t>Need More Information</t>
  </si>
  <si>
    <t>Application Strategic Value</t>
  </si>
  <si>
    <t>Business Domain Strategic Value</t>
  </si>
  <si>
    <t>Cloud Infrastructure Savings Potential</t>
  </si>
  <si>
    <t>More Expensive</t>
  </si>
  <si>
    <t>Feasibility of Adopting SaaS</t>
  </si>
  <si>
    <t>Application In Scope</t>
  </si>
  <si>
    <t>Infrastructure In Scope</t>
  </si>
  <si>
    <t>Workload In Scope</t>
  </si>
  <si>
    <t>Business Domain SaaS Availability</t>
  </si>
  <si>
    <t>Business Domain Agility Benefit</t>
  </si>
  <si>
    <t>Mainframe Usage</t>
  </si>
  <si>
    <t>Mainframe Usage is Growing</t>
  </si>
  <si>
    <t>Mainframe Usage is Steady</t>
  </si>
  <si>
    <t>Mainframe Usage is Declining</t>
  </si>
  <si>
    <t>No Mainframe Usage</t>
  </si>
  <si>
    <t>Application Size</t>
  </si>
  <si>
    <t>Very Large</t>
  </si>
  <si>
    <t>Large</t>
  </si>
  <si>
    <t>Small</t>
  </si>
  <si>
    <t>Very Small</t>
  </si>
  <si>
    <t>Application Review Status</t>
  </si>
  <si>
    <t>Not Started</t>
  </si>
  <si>
    <t>In Progress</t>
  </si>
  <si>
    <t>Current State Validated</t>
  </si>
  <si>
    <t>Target State Validated</t>
  </si>
  <si>
    <t>Changes Required</t>
  </si>
  <si>
    <t>Open Question</t>
  </si>
  <si>
    <t>Out of Scope</t>
  </si>
  <si>
    <t>ABB Current Maturity Classification</t>
  </si>
  <si>
    <t>ABB Planned Maturity Level</t>
  </si>
  <si>
    <t>ABB Foundational Maturity Level</t>
  </si>
  <si>
    <t>IBM AMS Scope</t>
  </si>
  <si>
    <t>IBM Infrastructure Managed Services Scope</t>
  </si>
  <si>
    <t>Infrastructure Out of Support Technologies</t>
  </si>
  <si>
    <t>Utilizes Mainframe</t>
  </si>
  <si>
    <t>Mainframe Application</t>
  </si>
  <si>
    <t>Business Domain Type</t>
  </si>
  <si>
    <t>Business</t>
  </si>
  <si>
    <t>Process Area Type</t>
  </si>
  <si>
    <t>IT</t>
  </si>
  <si>
    <t>Effort of Cloud Enablement</t>
  </si>
  <si>
    <t>N/A (Evergreen)</t>
  </si>
  <si>
    <t>Software Standardization Category</t>
  </si>
  <si>
    <t>Unsupported Technology</t>
  </si>
  <si>
    <t>Standard Database</t>
  </si>
  <si>
    <t>DB2</t>
  </si>
  <si>
    <t>SQL Server</t>
  </si>
  <si>
    <t>PostgreSQL</t>
  </si>
  <si>
    <t>Not a Database Server</t>
  </si>
  <si>
    <t>Standard Web Server</t>
  </si>
  <si>
    <t>Apache HTTP Server</t>
  </si>
  <si>
    <t>Apache Tomcat</t>
  </si>
  <si>
    <t>IBM HTTP Server</t>
  </si>
  <si>
    <t>Microsoft IIS</t>
  </si>
  <si>
    <t>Not a Web Server</t>
  </si>
  <si>
    <t>Standard Application Server</t>
  </si>
  <si>
    <t>JBOSS Application Server</t>
  </si>
  <si>
    <t>WebLogic Application Server</t>
  </si>
  <si>
    <t>WebSphere Application Server</t>
  </si>
  <si>
    <t>Not an Application Server</t>
  </si>
  <si>
    <t>Software Category</t>
  </si>
  <si>
    <t>Application Server</t>
  </si>
  <si>
    <t>Database Server</t>
  </si>
  <si>
    <t>COTS SOE</t>
  </si>
  <si>
    <t>COTS SOI</t>
  </si>
  <si>
    <t>COTS SOR</t>
  </si>
  <si>
    <t>Management</t>
  </si>
  <si>
    <t>Physical or Virtual</t>
  </si>
  <si>
    <t>Physical</t>
  </si>
  <si>
    <t>Virtual</t>
  </si>
  <si>
    <t>Infrastructure Data Security and Privacy Complexity</t>
  </si>
  <si>
    <t>Financial - Cost Savings Potential</t>
  </si>
  <si>
    <t>Target Is Higher</t>
  </si>
  <si>
    <t>Financial - Revenue Growth Potential</t>
  </si>
  <si>
    <t>Technical Priority</t>
  </si>
  <si>
    <t>Business Priority</t>
  </si>
  <si>
    <t>Overall Priority</t>
  </si>
  <si>
    <t>Asynchronous</t>
  </si>
  <si>
    <t>Synchronous</t>
  </si>
  <si>
    <t>Critical</t>
  </si>
  <si>
    <t>Enterprise Strategy - Current State Score (On Prem)</t>
  </si>
  <si>
    <t>1 - Different units apply different strategies</t>
  </si>
  <si>
    <t>2 - Yes, a common shared strategy exists across the enterprise, but with ad-hoc adoption</t>
  </si>
  <si>
    <t>3 - Cloud strategy is well communicated throughout the enterprise and signed off by all key stakeholders</t>
  </si>
  <si>
    <t>4 - The cloud strategy guides all new system deployments and technology renewals as "the rule".  Key Performance Indicators (KPIs) are published and measured.</t>
  </si>
  <si>
    <t>5 - The cloud strategy enables growth and optimization of business outcomes across the enterprise. The strategy is revised on a regular basis, according to a defined timeframe.</t>
  </si>
  <si>
    <t>0 - No strategy defined</t>
  </si>
  <si>
    <t>Enterprise Strategy - Current State Score (Hybrid)</t>
  </si>
  <si>
    <t>4 - The cloud strategy guides all new system deployments and technology renewals as "the rule" The coverage is measured by means of tracked KPI's</t>
  </si>
  <si>
    <t>5 - The cloud strategy enables the growth and optimization of business outcomes across the Enterprise. The strategy is revised on a regular basis, according to a defined timeframe</t>
  </si>
  <si>
    <t>Enterprise Strategy - Entry Point (IBM POV)</t>
  </si>
  <si>
    <t>Overall Data Quality Status</t>
  </si>
  <si>
    <t>Complete</t>
  </si>
  <si>
    <t>Missing Minor Amount of Data</t>
  </si>
  <si>
    <t>Missing Moderate Amount of Data</t>
  </si>
  <si>
    <t>Missing Large Amount of Data</t>
  </si>
  <si>
    <t>Waiting for Data</t>
  </si>
  <si>
    <t>Application Data Quality</t>
  </si>
  <si>
    <t>Application Complexity</t>
  </si>
  <si>
    <t>Extreme</t>
  </si>
  <si>
    <t>Application Has Existing Issues</t>
  </si>
  <si>
    <t>Performance Testing Required</t>
  </si>
  <si>
    <t>Release Lifecycle Management</t>
  </si>
  <si>
    <t>Partial</t>
  </si>
  <si>
    <t>Active / Active</t>
  </si>
  <si>
    <t>Active / Passive</t>
  </si>
  <si>
    <t>Disaster Recovery Plan Only</t>
  </si>
  <si>
    <t>No Disaster Recovery Plan</t>
  </si>
  <si>
    <t>Customer Facing</t>
  </si>
  <si>
    <t>Growth Trend</t>
  </si>
  <si>
    <t>Availability of SaaS</t>
  </si>
  <si>
    <t>Strategic Value of Process Area</t>
  </si>
  <si>
    <t>Process Area Agility Benefit</t>
  </si>
  <si>
    <t>Application Infrastructure Mapping Status</t>
  </si>
  <si>
    <t>Infrastructure Validated</t>
  </si>
  <si>
    <t>Infrastructure Found</t>
  </si>
  <si>
    <t>No Infrastructure Anticipated</t>
  </si>
  <si>
    <t>Containerization Business Affinity</t>
  </si>
  <si>
    <t>Deployment Pattern</t>
  </si>
  <si>
    <t>Security Maintenance Effort</t>
  </si>
  <si>
    <t>Containerization Technical Affinity</t>
  </si>
  <si>
    <t>Standard Docker Image Exists</t>
  </si>
  <si>
    <t>The app has a certified Docker image</t>
  </si>
  <si>
    <t>Image can be created from the running application</t>
  </si>
  <si>
    <t>Image can be created from the application source files</t>
  </si>
  <si>
    <t>Application Design Pattern Maturity</t>
  </si>
  <si>
    <t>Twelve factor application</t>
  </si>
  <si>
    <t>Not twelve factor, but componentized and loosely coupled</t>
  </si>
  <si>
    <t>The app is monolithic or its components are tightly coupled</t>
  </si>
  <si>
    <t>Specialized Hardware</t>
  </si>
  <si>
    <t>The app does not require specialized peripherals, obsolete or highly-specialized hardware and non-standard databases</t>
  </si>
  <si>
    <t>The app may require either specialized peripherals, obsolete or highly specialized hardware and non standard databases</t>
  </si>
  <si>
    <t>The app requires specialized peripherals, obsolete or highly-specialized hardware, non-standard databases</t>
  </si>
  <si>
    <t>Deployment Complexity</t>
  </si>
  <si>
    <t>The existing application delivery process from development to operations is manual and/or involves a number of time consuming change management steps (days)</t>
  </si>
  <si>
    <t>The existing application delivery process from development to operations is semi-automated with a number of change management steps (hours)</t>
  </si>
  <si>
    <t>The existing application delivery process from development to operations is automated and efficient (minutes)</t>
  </si>
  <si>
    <t>Containerization Operational Affinity</t>
  </si>
  <si>
    <t>Availability Requirement</t>
  </si>
  <si>
    <t>Application Startup Time Requirements</t>
  </si>
  <si>
    <t>Containerization Overall Affinity</t>
  </si>
  <si>
    <t>Containerize and Migrate</t>
  </si>
  <si>
    <t>Do not Containerize</t>
  </si>
  <si>
    <t>Refactor the application by functional decomposition or unit boundaries and containerize</t>
  </si>
  <si>
    <t>Refactor the Application Components by resources and containerize</t>
  </si>
  <si>
    <t>Initiative Demand</t>
  </si>
  <si>
    <t>Not Required</t>
  </si>
  <si>
    <t>Initiative Priority</t>
  </si>
  <si>
    <t>Initiative Complexity Factor</t>
  </si>
  <si>
    <t>Private Cloud Strategy</t>
  </si>
  <si>
    <t>0 - No intention to have any on-premises cloud environments</t>
  </si>
  <si>
    <t>1 - Already have a private cloud and plan to use it for all workloads with sensitive / regulated data or where financially advantageous</t>
  </si>
  <si>
    <t>2 - Do not have a private cloud but plan to use one for all workloads with sensitive / regulated data or where financially advantageous</t>
  </si>
  <si>
    <t>3 - Not sure, need to define a strategy</t>
  </si>
  <si>
    <t>Public Cloud Strategy</t>
  </si>
  <si>
    <t>0 - Exploit as much as possible</t>
  </si>
  <si>
    <t>1 - Select workloads are / will be moved to Public Cloud</t>
  </si>
  <si>
    <t>2 - Not ready for Public Cloud</t>
  </si>
  <si>
    <t>3 - Not sure, need a strategy for Public Cloud</t>
  </si>
  <si>
    <t>4 - Precise plan is in place for Public Cloud</t>
  </si>
  <si>
    <t>Mainframe and Specialized Hardware Strategy</t>
  </si>
  <si>
    <t>1 - Keep - continue to use for workloads that require this type of environment, expose APIs as needed</t>
  </si>
  <si>
    <t>2 - Surround and Erode - modernize apps over time and reduce the dependency on the mainframe wherever possible</t>
  </si>
  <si>
    <t>3 - Strategic - keep and potentially grow the use of mainframe including new development using cloud, DevOps, containers and zLinux technologies</t>
  </si>
  <si>
    <t>4 - Not Sure - Need to develop a mainframe and specialized hardware strategy</t>
  </si>
  <si>
    <t>5 - N/A - No mainframe or specialized hardware</t>
  </si>
  <si>
    <t>Preferred Public Cloud Providers</t>
  </si>
  <si>
    <t>1 - Alibaba</t>
  </si>
  <si>
    <t>2 - AWS</t>
  </si>
  <si>
    <t>3 - Azure</t>
  </si>
  <si>
    <t>4 - GCP</t>
  </si>
  <si>
    <t>5 - IBM</t>
  </si>
  <si>
    <t>6 - Oracle</t>
  </si>
  <si>
    <t>6</t>
  </si>
  <si>
    <t>7 - Other</t>
  </si>
  <si>
    <t>7</t>
  </si>
  <si>
    <t>Infrastructure Effort of Cloud Enablement</t>
  </si>
  <si>
    <t>IBM Mode of Support</t>
  </si>
  <si>
    <t>0 - We need a strategic partner that is advising us through the process and providing deep technical skills where we have gaps.</t>
  </si>
  <si>
    <t>1 - We need specific services like assessments, migrations, cloud-native development, DevOps as needed to help us accelerate</t>
  </si>
  <si>
    <t>2 - We want to do most of the work ourselves, but we may need some staff augmentation and any free assets, knowledge bases and tutorials to help us get started.</t>
  </si>
  <si>
    <t>3 - We're not sure what IBM can do to help us, and we'd like to learn more about how IBM has helped other companies in the 3 modes described above.</t>
  </si>
  <si>
    <t>4 - Other</t>
  </si>
  <si>
    <t>Preferred Single Tenant Deployment Option</t>
  </si>
  <si>
    <t>Dedicated Cloud</t>
  </si>
  <si>
    <t>Private Cloud</t>
  </si>
  <si>
    <t>No Preference</t>
  </si>
  <si>
    <t>Single Tenant Preference</t>
  </si>
  <si>
    <t>Extend for Hybrid Cloud</t>
  </si>
  <si>
    <t>Containerize</t>
  </si>
  <si>
    <t>Mediium</t>
  </si>
  <si>
    <t>Infrastructure Complexity</t>
  </si>
  <si>
    <t>Greater China Group</t>
  </si>
  <si>
    <t>Latin America</t>
  </si>
  <si>
    <t>Type of Application Services</t>
  </si>
  <si>
    <t>Application Development</t>
  </si>
  <si>
    <t>Application Maintenance</t>
  </si>
  <si>
    <t>Application Development and Maintenance</t>
  </si>
  <si>
    <t>Application Services Contract Type</t>
  </si>
  <si>
    <t>Consulting Services</t>
  </si>
  <si>
    <t>Managed Services</t>
  </si>
  <si>
    <t>Staff Augmentation</t>
  </si>
  <si>
    <t>Overall Maturity for Multicloud</t>
  </si>
  <si>
    <t>Risk Source Category</t>
  </si>
  <si>
    <t>Architecture Gap Analysis</t>
  </si>
  <si>
    <t>Business Analysis</t>
  </si>
  <si>
    <t>Financial Analysis</t>
  </si>
  <si>
    <t>Operating Model Analysis</t>
  </si>
  <si>
    <t>Security and Compliance Analysis</t>
  </si>
  <si>
    <t>Transformation Program</t>
  </si>
  <si>
    <t>Culture &amp; Goals - Current State Score (Hybrid)</t>
  </si>
  <si>
    <t>0 - Compensation scheme does not contain components that relate to cloud</t>
  </si>
  <si>
    <t>1 - Compensation scheme includes limited KPIs for senior management that are affected by cloud implementation</t>
  </si>
  <si>
    <t>2 - Compensation scheme components related to cloud are available and encourages employee(s) to continually look for improvement opportunities within their technical domain</t>
  </si>
  <si>
    <t>3 - Incentives and rewards are available for those who achieve results, innovation and business value</t>
  </si>
  <si>
    <t>4 - Enterprise maintains a reward system, placing increased value on rewards and incentives that encourages employee to increase their cloud-skills and transparently rewards technical acumen and idea creation; KPIs are defined and used to measure employee's contribution to innovation as well as cloud consumption and delivery</t>
  </si>
  <si>
    <t>5 - Compensation scheme is clearly driving innovation as measured against transparent KPIs related to cloud with regard to business and technology and by the consumption and delivery of cloud services</t>
  </si>
  <si>
    <t>Culture &amp; Goals - Desired State Score</t>
  </si>
  <si>
    <t>Governance &amp; Structure - Current State Score (Hybrid)</t>
  </si>
  <si>
    <t>0 - Structures don't consider cloud service delivery</t>
  </si>
  <si>
    <t>1 - Current structure deals with ad-hoc adoption</t>
  </si>
  <si>
    <t>2 - A Structure to enable cloud service models is defined and partially implemented, ongoing as projects occur</t>
  </si>
  <si>
    <t>3 - Teams have been created in the IT that deal with cloud services, including business and technical functions; Business Analyst role exists to consult with Developers and Business; Cloud KPI's per team are identified</t>
  </si>
  <si>
    <t>4 - Business unit structures are updated to support cloud service use;  Active planning is performed to close gaps in the overall structure, and reviewed regularly</t>
  </si>
  <si>
    <t>5 - The organizational structure brings tangible business benefits by having clear roles and structures identified across the business units, in context of the business objectives, with regular reviews and updates as needed</t>
  </si>
  <si>
    <t>Governance &amp; Structure - Desired State Score</t>
  </si>
  <si>
    <t>Project Lifecycle - Current State Score (Hybrid)</t>
  </si>
  <si>
    <t>0 - Cloud is not a factor in selecting or initiating projects</t>
  </si>
  <si>
    <t>1 - Ad-hoc projects developed by the project manager are developing own processes, methodologies and frameworks for Cloud service integration</t>
  </si>
  <si>
    <t>2 - Partial re-use of cloud methodologies, defined by certain new projects, and shared for further enhancement</t>
  </si>
  <si>
    <t>3 - Standard training is available for the various involved organizational units, tailored to their needs, addressing important cloud rules, policies, aspects and skills that they must develop and apply in their cloud service adoption</t>
  </si>
  <si>
    <t>4 - Projects are planned in a cloud portfolio annually in advance, with clear budget, scope and objectives towards enabling cloud benefits realization</t>
  </si>
  <si>
    <t>5 - Leveraging existing templates, resources and methodologies for cloud use, high performance innovation is enabled, multiplying the enterprises new product development by a defined factor</t>
  </si>
  <si>
    <t>Project Lifecycle - Desired State Score</t>
  </si>
  <si>
    <t>Service Portfolio Management - Current State Score (Hybrid)</t>
  </si>
  <si>
    <t>0 - No training or framework for service portfolio management is used</t>
  </si>
  <si>
    <t>1 - Some teams have defined products and a common approach to portfolio development</t>
  </si>
  <si>
    <t>2 - Common training exists regarding business services development; including design, operation and changes which are defined according to a framework, and cloud training according to this model is applied in all new projects</t>
  </si>
  <si>
    <t>3 - It is required that all members of the enterprise undergo common training on the business products and services according to an enterprise wide common framework for service portfolio management, including the positioning of cloud services in context of compliance and security requirements of the business</t>
  </si>
  <si>
    <t>4 - KPI's for people development include Service Portfolio development, operations and management</t>
  </si>
  <si>
    <t>5 - Specific training is defined per business function, according to a common framework which defines cloud service positioning, and feedback on the effectiveness of the defined processes to the close the loop within the enterprise</t>
  </si>
  <si>
    <t>Service Portfolio Management - Desired State Score</t>
  </si>
  <si>
    <t>Working Environment  - Current State Score (Hybrid)</t>
  </si>
  <si>
    <t>0 - No focus on re-aligning existing assets, facilities &amp; locations to enable teams to rapidly adopt cloud</t>
  </si>
  <si>
    <t>1 - Piloting, or ad-hoc adjustments applied to existing / legacy environments are still a key constraint</t>
  </si>
  <si>
    <t>2 - Some projects have applied some practices / adjustments to the work environment</t>
  </si>
  <si>
    <t>3 - Systematic adjustments, investments in co-location facilities and innovation enablement and changes to data centers have applied to drive collaboration and enable workforce adoption</t>
  </si>
  <si>
    <t>4 - Increasing enterprise wide adoption of leading practices, with a strong focus on continuous improvement</t>
  </si>
  <si>
    <t>5 - Advanced, industry leading practices systematically applied to work environment to accelerate adoption, increase workforce collaboration, and drive business outcomes</t>
  </si>
  <si>
    <t>Working Environment  - Desired State Score</t>
  </si>
  <si>
    <t>PaaS Adoption - Current State Score (Hybrid)</t>
  </si>
  <si>
    <t>0 - Applications do not make use of any cloud related structure, pattern, design concept, PaaS platform or PaaS-based services</t>
  </si>
  <si>
    <t>1 - Applications are integrated using Non-standard proprietary application integration, though they may make use of a PaaS solution for certain services</t>
  </si>
  <si>
    <t>2 - Applications structures are starting to use shared components for integration, including services built from PaaS platforms</t>
  </si>
  <si>
    <t>3 - Applications are often provisioned via platform as a service, from off or on-premise, through common portal; integration, presentation and data services have moved from shared utilities to PaaS generated services</t>
  </si>
  <si>
    <t>4 - Application portfolio reporting, and management processes ensure that all applications and services are constructed from a PaaS platform, available as services using a restful API (SOA) integration mechanism; auto provisioning of full application is available on demand and infrastructure is automatically scaled by the PaaS platform to meet performance requirements of the application</t>
  </si>
  <si>
    <t>5 - All applications and services are provisioned via PaaS from off or on-premise, through a common portal; infrastructure supporting these applications is highly optimized to meet performance, financial and compliance targets; PaaS provisioned applications are automatically pushed through a set of test suites, and upon passing the applications are deployed directly to production</t>
  </si>
  <si>
    <t>PaaS Adoption - Desired State Score</t>
  </si>
  <si>
    <t>IPaaS Adoption - Current State Score (Hybrid)</t>
  </si>
  <si>
    <t>0 - The enterprise has no plans to implement IPaaS</t>
  </si>
  <si>
    <t>1 - Nonstandard integration methods are accepted and utilized across teams</t>
  </si>
  <si>
    <t>2 - Individual teams publish restful API design guidelines, integration standards, based on integration method, security requirements and type of data; an operating model emerges to support integration engineers and project integrators</t>
  </si>
  <si>
    <t>3 - Applications across the enterprise use a restful API integration model; Project and Portfolio Management approval process are modified to enforce integration policies; An operating model is put into effect that supports citizen integrators and project developers</t>
  </si>
  <si>
    <t>4 - The enterprise implements an integration governance model that ensures all applications are integrated via standardized restful APIs, and data integration is accomplished via templates and shared data integration routines or shared tools (ETL, ELT, ESB, data streams, etc.)</t>
  </si>
  <si>
    <t>5 - All integration processes have been integrated as part of a complete IPaaS capability (centralized or federated), with supporting governance processes (application, data, portfolio, project) to ensure compliance with policy</t>
  </si>
  <si>
    <t>IPaaS Adoption - Desired State Score</t>
  </si>
  <si>
    <t>Expertise - Current State Score (Hybrid)</t>
  </si>
  <si>
    <t>0 - No training or awareness in evidence</t>
  </si>
  <si>
    <t>1 - Some Employees possess limited  skills</t>
  </si>
  <si>
    <t>2 - 10-25% of employees possess and exhibit the appropriate skill level</t>
  </si>
  <si>
    <t>3 - 25-50% of employees possess and exhibit the appropriate skill level, with supporting certifications</t>
  </si>
  <si>
    <t>4 - 50-75% of employees possess and exhibit the appropriate skill level</t>
  </si>
  <si>
    <t>5 - 100% of employees possess and exhibit the appropriate skill level (pervasive), based on training on the business strategy</t>
  </si>
  <si>
    <t>Expertise - Desired State Score</t>
  </si>
  <si>
    <t>Business Process Alignment - Current State Score (Hybrid)</t>
  </si>
  <si>
    <t>0 - No documentation is available that map the business products, processes, and supporting IT systems</t>
  </si>
  <si>
    <t>1 - Some business product process chains are documented, showing some involved IT elements</t>
  </si>
  <si>
    <t>2 - Each Business process is documented, together with the underlying IT systems, and SLA's / OLA's for handling transactions</t>
  </si>
  <si>
    <t>3 - Key common elements of the business process are aligned from a semantics and data handling perspective, and evaluated for cloud candidacy, with a migration and consolidation plan in place</t>
  </si>
  <si>
    <t>4 - Performance of common IT elements is measured, in the combined business processes, and alerting is in place when high or low performance watermarks are crossed.  Systems are categorized according to the data they hold for the business processes and located accordingly</t>
  </si>
  <si>
    <t>5 - Performance and compliance reality is measured for each IT element underpinning the business process, and the process or element is regularly updated to align on business objectives more effectively</t>
  </si>
  <si>
    <t>Business Process Alignment - Desired State Score</t>
  </si>
  <si>
    <t>Information Lifecycle Mgmt - Current State Score (Hybrid)</t>
  </si>
  <si>
    <t>0 - There is no governance of ILM processes or policies</t>
  </si>
  <si>
    <t>1 - The enterprise has an ILM policy but the majority of employees are unaware of its existence</t>
  </si>
  <si>
    <t>2 - The enterprise has organized an ILM governance function, largely focused on business data governance practices. The governance function has little impact on the enterprise</t>
  </si>
  <si>
    <t>3 - The enterprise has a published ILM governance process wherein teams across the enterprise consistently participate in this program resulting in business operations that align to policy</t>
  </si>
  <si>
    <t>4 - Automated ILM processes inform and provide measurement of the value that the ILM governance process delivers</t>
  </si>
  <si>
    <t>5 - Governance of ILM process and policies is part of a continuous feedback loop, ensuring optimization of ILM processes and an effectively managed set of information assets for the enterprise</t>
  </si>
  <si>
    <t>Information Lifecycle Mgmt - Desired State Score</t>
  </si>
  <si>
    <t>IT Architecture - Current State Score (Hybrid)</t>
  </si>
  <si>
    <t>0 - No architectural designs exist to guide cloud-based service deployments</t>
  </si>
  <si>
    <t>1 - Architectural designs are utilized on an ad hoc basis to guide cloud-based service deployments</t>
  </si>
  <si>
    <t>2 - A foundational set of architectural designs exist and are often leveraged to guide cloud deployments</t>
  </si>
  <si>
    <t>3 - Cloud principles, architecture  blueprints, requirements and use case stories are well documented and utilized in most cloud-based service deployments</t>
  </si>
  <si>
    <t>4 - Services can be modelled online, leveraging existing standard building block architecture artifacts that are well documented. Utilization of this methodology is evangelized as the expected behavior for designing cloud-based service deployments</t>
  </si>
  <si>
    <t>5 - Service components are modeled within the single set of tools that are also utilized for deploying and managing a highly automated and optimized cloud-based ecosystem</t>
  </si>
  <si>
    <t>IT Architecture - Desired State Score</t>
  </si>
  <si>
    <t>IaaS Adoption - Current State Score (Hybrid)</t>
  </si>
  <si>
    <t>0 - There is no current understanding of IaaS across the enterprise</t>
  </si>
  <si>
    <t>1 - There is an initial understanding of IaaS and there are ad-hoc instances beginning to emerge</t>
  </si>
  <si>
    <t>2 - IaaS is beginning to be implemented consistently across the enterprise opportunistically</t>
  </si>
  <si>
    <t>3 - IaaS is now defined and implemented in a systematic way across the enterprise (E.g. compute, network and storage services are readily available for consumption by subscription)</t>
  </si>
  <si>
    <t>4 - IaaS is managed and measurable across the enterprise and can be used to validate and enforce SLA's and meet defined KPI requirements</t>
  </si>
  <si>
    <t>5 - IaaS is optimized to meet the needs of the enterprise and the businesses it supports</t>
  </si>
  <si>
    <t>IaaS Adoption - Desired State Score</t>
  </si>
  <si>
    <t>DevOps Automation - Current State Score (Hybrid)</t>
  </si>
  <si>
    <t>0 - There is no defined cloud architecture to support DevOps</t>
  </si>
  <si>
    <t>1 - Cloud Architecture is implemented to address ad-hoc request and is manually-installed on a monolithic stack</t>
  </si>
  <si>
    <t>2 - DevOps implements the use of static templates such as AMI (Amazon Machine Image) to develop repeatable processes in deploying images to cloud environments</t>
  </si>
  <si>
    <t>3 - DevOps has a defined cloud architecture with mixed monolithic stacks and systematic use of templates and AMI</t>
  </si>
  <si>
    <t>4 - DevOps team manage distributed container-based solutions that are measurable which support the cloud architecture model</t>
  </si>
  <si>
    <t>5 - DevOps teams have optimized service delivery utilizing lightweight services such as micro services that align with the agility and reuse models adopted by the business and support the adopted cloud based architecture model</t>
  </si>
  <si>
    <t>DevOps Automation - Desired State Score</t>
  </si>
  <si>
    <t>Application Strategy - Current State Score (Hybrid)</t>
  </si>
  <si>
    <t>0 - Applications are constructed and managed by organizational employees as traditional client server applications, they may or may not leverage virtualized infrastructure</t>
  </si>
  <si>
    <t>1 - Applications and Services are designed as and operate in a stateless manner, composed of loosely coupled discoverable services leveraging one or more cloud services (storage, compute, network); management by automation, scripts or orchestration is used ad hoc across teams</t>
  </si>
  <si>
    <t>2 - Most applications leverage public/private cloud providers like AWS, Microsoft's Azure or Google's compute and storage services.  Applications are designed to monitor, retry and self-heal, leveraging services provided by on and off-premise platforms</t>
  </si>
  <si>
    <t>3 - Application are temporal, working in an environment where each link in the service tendency chain and are unaware of and unaffected by failure, start or elimination of dependent services or individual instances of those services. Applications are architected such that in-flight transactions across service chains are rolled forward/back appropriately regardless of the number or geographic distribution of service instances</t>
  </si>
  <si>
    <t>4 - Application can be dynamically migrated across infrastructure providers without interruption of service or loss of transaction fidelity with the ability scale up and scale down in response to performance, availability and cost SLA targets</t>
  </si>
  <si>
    <t>5 - Application patterns are utilized to design applications which are instantiated by constructor services, where developers select service building blocks to construct applications rather than code them, leveraging a high degree of automation removing most of the manual tasks</t>
  </si>
  <si>
    <t>Application Strategy - Desired State Score</t>
  </si>
  <si>
    <t>Data Management - Current State Score (Hybrid)</t>
  </si>
  <si>
    <t>0 - The enterprise does not have a published data management framework</t>
  </si>
  <si>
    <t>1 - The enterprise has a documented data management framework.  A basic set of data is collected for data housed on or processed by cloud platforms, metadata is collected manually, by various methods across groups and departments</t>
  </si>
  <si>
    <t>2 - The enterprise has a published data management framework.  A non-formal set of data stewards emerge who take responsibility for collections of data housed on or processed by cloud platforms and are responsible for collecting and providing information about data</t>
  </si>
  <si>
    <t>3 - The enterprise has a published data management framework.  Data stewards are defined for data housed on or processed by cloud platforms and data stakeholders review data management reports and take corrective action within the boundaries of defined data management processes</t>
  </si>
  <si>
    <t>4 - The enterprise has a published data management framework.  Data stewards ensure that integrated set of metadata is encompassing of data housed on or processed by cloud and traditional platforms and is encoded within a CMDB/CMS, data warehouse, or location within the Data-aaS ecosystem</t>
  </si>
  <si>
    <t>5 - The enterprise's data management framework is an integral part of its overall operating model. Monitoring of data management and compliance to rules and policies is integrated with data triggers that automate events when data management attribute thresholds are reached, triggering automated corrective action or alerting</t>
  </si>
  <si>
    <t>Data Management - Desired State Score</t>
  </si>
  <si>
    <t>Security Management - Current State Score (Hybrid)</t>
  </si>
  <si>
    <t>0 - The enterprise lacks security frameworks for classes of applications</t>
  </si>
  <si>
    <t>1 - Use is made of original physical separation based individual system requirements. Applications are not classified by groups</t>
  </si>
  <si>
    <t>2 - Applications are grouped and requirements are set for business critical systems</t>
  </si>
  <si>
    <t>3 - Requirements are defined for all types of systems, application groups and all cloud provider's services are aligned to these categories</t>
  </si>
  <si>
    <t>4 - Clear security perimeters and controls are defined and extended to the different cloud services, according to defined security qualities and criteria</t>
  </si>
  <si>
    <t>5 - Fully integrated security framework exists capturing the whole cloud environment which is real-time monitored and integrated to the enterprise landscape</t>
  </si>
  <si>
    <t>Security Management - Desired State Score</t>
  </si>
  <si>
    <t>STaaS Adoption - Current State Score (Hybrid)</t>
  </si>
  <si>
    <t>0 - No support exists to secure data and network needed to support STaaS for both public and private services</t>
  </si>
  <si>
    <t>1 - Limited support exist to secure data and network needed to support STaaS for both public and private services</t>
  </si>
  <si>
    <t>2 - Data transport and network connectivity is established on a team by team basis to support STaaS for both public and private services</t>
  </si>
  <si>
    <t>3 - The enterprise defines data transport and storage and a set of standard network connectivity methods in support of STaaS for both public and private services</t>
  </si>
  <si>
    <t>4 - Use of standard data and network connectivity is ensured through governance ensuring effective and secure use of STaaS (on-premise and off-premise)</t>
  </si>
  <si>
    <t>5 - Data transport and network connectivity configurations are transparent to end users and have been integrated with the enterprise's single, shared cloud management or broker capability</t>
  </si>
  <si>
    <t>STaaS Adoption - Desired State Score</t>
  </si>
  <si>
    <t>SaaS Policy - Current State Score (Hybrid)</t>
  </si>
  <si>
    <t>0 - No Policy Exists</t>
  </si>
  <si>
    <t>1 - Employees try to align use of SaaS to existing application classification policies</t>
  </si>
  <si>
    <t>2 - Each cloud providers' own security offering is generally accepted</t>
  </si>
  <si>
    <t>3 - Well defined software policies exist and offerings are consistently evaluated from all providers</t>
  </si>
  <si>
    <t>4 - Policies are supported by monitoring tooling and enterprise governance: policies for location and protection of Confidential systems and content are defined, identifying what must be retained within the enterprise perimeter, and which "generic information" may be linked anonymously from the SaaS provider</t>
  </si>
  <si>
    <t>5 - All policy by-passes or exceptions are automatically detected and real-time alerting occurs, supported by appropriate governance structures</t>
  </si>
  <si>
    <t>SaaS Policy - Desired State Score</t>
  </si>
  <si>
    <t>Procurement Integration - Current State Score (Hybrid)</t>
  </si>
  <si>
    <t>0 - The tools that Procurement uses are not cloud aware or partner integrated</t>
  </si>
  <si>
    <t>1 - Each providers own Cloud Portal is used for ordering &amp; configuring services</t>
  </si>
  <si>
    <t>2 - Links exist from the enterprise Procurement Intranet to selected supplier's portals/catalogues</t>
  </si>
  <si>
    <t>3 - Providers Catalogues and approval workflows are integrated with the enterprise order portal and standardized workflow system</t>
  </si>
  <si>
    <t>4 - Provider Catalogue contents updates are synchronized, selected and published within the enterprise order portal based on application and data compliance requirements</t>
  </si>
  <si>
    <t>5 - Defined partners are electronically integrated into the enterprise systems and processes; a catalogue is available on the enterprise portal, with transparent automated routing to the appropriate provider and procurement systems get automated notification based on capacity requirements when additional infrastructure or service supply is required</t>
  </si>
  <si>
    <t>Procurement Integration - Desired State Score</t>
  </si>
  <si>
    <t>Integrated Operations (IT) - Current State Score (Hybrid)</t>
  </si>
  <si>
    <t>0 - Service risk and compliance management processes do not exist or are handled in nonstandard and ad hoc fashions</t>
  </si>
  <si>
    <t>1 - Employees in the enterprise (human-based) provide service management functions, responding to regular reports or events as they occur or are produced in arrears</t>
  </si>
  <si>
    <t>2 - Service, risk and compliance management processes are in use across the enterprise but are not integrated with the enterprises and service providers processes. Each cloud providers' processes are utilized, with manual, ad-hoc coupling to the consumer enterprises' own processes</t>
  </si>
  <si>
    <t>3 - Although still manually integrated, the process for navigating a single issue across the consumer enterprise and its cloud provider are well defined and consistent between consumer and all providers</t>
  </si>
  <si>
    <t>4 - Service, risk and compliance management processes between the consumer enterprise and its cloud providers are well integrated, leveraging an integrated set of tools not only provides the needed functionality but also addresses management reporting and tracking of KPIs</t>
  </si>
  <si>
    <t>5 - The enterprise cloud management and/or cloud brokering capability seamlessly processes incidents across the enterprise and its cloud providers infrastructure and services. All process by-passes or exceptions are automatically detected, triggering real-time alerting and employee response</t>
  </si>
  <si>
    <t>Integrated Operations (IT) - Desired State Score</t>
  </si>
  <si>
    <t>Commercial Supply Model - Current State Score (Hybrid)</t>
  </si>
  <si>
    <t>0 - No updates have been done to the commercial processes to specifically enable cloud service integration</t>
  </si>
  <si>
    <t>1 - Original internal IT processes are used, and cloud is fitted to those, as applicable</t>
  </si>
  <si>
    <t>2 - Defined manual handling of exceptions exists, where existing systems don't accommodate integration with cloud providers</t>
  </si>
  <si>
    <t>3 - Standardized supplier contracts are defined, enabling JIT delivery, from pre-selected suppliers, with electronic levels of integration consistently</t>
  </si>
  <si>
    <t>4 - Clear standard online contract and supply management is integrated with supplier systems, to ensure that the cloud service never runs out of capacity, by pre-warning suppliers of approaching order events automatically</t>
  </si>
  <si>
    <t>5 - Integrated reporting and data sharing of relevant data is enabled between pre-selected contracted suppliers and the cloud provider, to ensure that pre-warning of Procurement events is possible, and that service quality can be monitored and managed proactively</t>
  </si>
  <si>
    <t>Commercial Supply Model - Desired State Score</t>
  </si>
  <si>
    <t>Cloud Management Platform - Current State Score (Hybrid)</t>
  </si>
  <si>
    <t>0 - Cloud-aware management tools are not in use, highly manual process-based management</t>
  </si>
  <si>
    <t>1 - Management tools are cloud aware on an ad hoc basis, but process management is still highly manual</t>
  </si>
  <si>
    <t>2 - Some service delivery processes are automated through management tooling controlled by CSPs; partial integration of tooling exists with some CSP offering; containers are used by some delivery teams to improve application deployments</t>
  </si>
  <si>
    <t>3 - Internal management tools are highly integrated with CSP offerings providing a unified service based view across Hybrid IT components</t>
  </si>
  <si>
    <t>4 - Automation and event based triggers have had a significant impact on service delivery times.  Management tools provide a view of entire transactions along with component service calls dramatically reducing time to resolution of support tickets</t>
  </si>
  <si>
    <t>5 - CMDB discovery and config management across Hybrid IT is enabled by interface standardization and automation.  A unified service dashboard provides summary and detailed views with analytical features</t>
  </si>
  <si>
    <t>Cloud Management Platform - Desired State Score</t>
  </si>
  <si>
    <t>Finance Model - Current State Score (Hybrid)</t>
  </si>
  <si>
    <t>0 - There is no usage-based billing process for the IT Costs to the business</t>
  </si>
  <si>
    <t>1 - IT Costs are handled by a common IT budget; some projects are paid for by business on a non-usage based level</t>
  </si>
  <si>
    <t>2 - Yes, costs are billed to the main departments (Production, Management, R&amp;D), but only 1 -2 times a year, on a pre-calculated long term pricing model (maybe fixed for 2 years)</t>
  </si>
  <si>
    <t>3 - IT Costs are billed monthly on a generalized level based on the use. There is a capability for the consumer to check ordered Services and their corresponding costs</t>
  </si>
  <si>
    <t>4 - IT Costs are billed per use to the business and the business has a constant view on the actual costs which are constantly monitored</t>
  </si>
  <si>
    <t>5 - There is a constant process which monitors the billing. Growing costs are proactively monitored and are constantly discussed with the consumer. There is a process which terminates unused Services, as well as service selection based on technical and cost optimization</t>
  </si>
  <si>
    <t>Finance Model - Desired State Score</t>
  </si>
  <si>
    <t>Value for Money - Current State Score (Hybrid)</t>
  </si>
  <si>
    <t>0 - Potentially no linkage of IT spend to Business value</t>
  </si>
  <si>
    <t>1 - Value of IT measured ad-hoc only in siloed business functions; no standard metric templates; and low alignment to business unit strategy</t>
  </si>
  <si>
    <t>2 - ROI of core services measured and tracked against one-off business outcomes; no alignment to strategic business roadmap</t>
  </si>
  <si>
    <t>3 - Defined business case - with strategic and tactical issues that need to be analyzed with a definition of the risk to service provide and  other business value dimensions such as preserving capital, on demand resources, etc.</t>
  </si>
  <si>
    <t>4 - Value of IT improving - Business value realized increasingly with newer services aligned and measured against business outcomes; IT spend is aligned with business strategy outcomes</t>
  </si>
  <si>
    <t>5 - Perceived spend on IT is highly valued in driving business strategy outcomes; spend on IT is seen as major driver for successful business outcomes at a competitive price point</t>
  </si>
  <si>
    <t>Value for Money - Desired State Score</t>
  </si>
  <si>
    <t>Total Cost of Ownership (TCO) - Current State Score (Hybrid)</t>
  </si>
  <si>
    <t>0 - Unpredictable total costs - Highly variable costs</t>
  </si>
  <si>
    <t>1 - Legacy IT costs with moderately variable costs</t>
  </si>
  <si>
    <t>2 - Standardized cost base with low flexibility</t>
  </si>
  <si>
    <t>3 - Some Degree of Flexibility in cost base and some costs aligned to consumption</t>
  </si>
  <si>
    <t>4 - Continuously improving on cost models and improving degree of cost flexibility</t>
  </si>
  <si>
    <t>5 - Highly optimized IT cost model continuously aligned to business / consumption levels</t>
  </si>
  <si>
    <t>Total Cost of Ownership (TCO) - Desired State Score</t>
  </si>
  <si>
    <t>Risk Management - Current State Score (Hybrid)</t>
  </si>
  <si>
    <t>0 - The risk management team do not recognize cloud as different from internal IT</t>
  </si>
  <si>
    <t>1 - Risks may be evaluated in project situations;no general risk definition</t>
  </si>
  <si>
    <t>2 - Risks are discussed (4-eye principle), and settlement/remediation agreed on a case by case basis</t>
  </si>
  <si>
    <t>3 - Risks and remediation's are defined, known and documented</t>
  </si>
  <si>
    <t>4 - A Risk management framework is defined and contextualized for cloud; risks are constantly monitored and risk mitigation plans are in place</t>
  </si>
  <si>
    <t>5 - A governance structure which is regularly updated has been implemented to manage risks for the business and a Computer Emergency Response Team (CERT) exists, which also extends to the cloud providers</t>
  </si>
  <si>
    <t>Risk Management - Desired State Score</t>
  </si>
  <si>
    <t>Compliance Controls - Current State Score (Hybrid)</t>
  </si>
  <si>
    <t>0 - No formal procedures such as checklists or due diligence implemented</t>
  </si>
  <si>
    <t>1 - On request, meeting of compliance requirements and/or adherence to SLA is reviewed manually for a small selection of key KPIs, mostly based on manually collated data; Certifications / attestations are analyzed as required</t>
  </si>
  <si>
    <t>2 - A basic compliance framework exists; when implementing new cloud services, following specified procedures is required to meet compliance requirements and selected areas are checked for compliance on an as-needed basis, incl. certifications / attestations published by cloud provider</t>
  </si>
  <si>
    <t>3 - A compliance framework exists and is established including accountabilities, responsibilities and documentation requirements.  Based on the compliance requirements, selected areas are checked for compliance on a regular basis. Systematic analysis of relevant certifications / attestations published by cloud provider, stored and managed in (e.g. DB)</t>
  </si>
  <si>
    <t>4 - An advanced compliance framework exists and is established including accountabilities, responsibilities and documentation requirements.  Online management and monitoring systems enable for checking for compliance of selected areas, systems environments, etc. in real-time, against defined compliance requirements; deviations and exceptions are reported and escalated; systematic analysis and management of certifications / attestations published by each cloud provider</t>
  </si>
  <si>
    <t>5 - Compliance trends are reviewed and analyzed, corrective and preventive actions are triggered based on automated monitoring and alerting of data collected by tools allowing for changes in compliance requirements for the system or business environment can be predicted and reacted upon, if required</t>
  </si>
  <si>
    <t>Compliance Controls - Desired State Score</t>
  </si>
  <si>
    <t>Driver of Innovation - Current State Score (Hybrid)</t>
  </si>
  <si>
    <t>0 - Completely disconnected from business value and customer experience</t>
  </si>
  <si>
    <t>1 - No Innovation; Cloud primarily used to streamline IT and cut costs; Ad-hoc rudimentary improvement in customer services</t>
  </si>
  <si>
    <t>2 - Improving Customer satisfaction scores in services with positive impact on business outcomes</t>
  </si>
  <si>
    <t>3 - Leveraging cloud to create new products, services, and revenue channels driving current business models transformation</t>
  </si>
  <si>
    <t>4 - Ability to rapidly prototype and realize potential of business value / strategic and/or competitive outcomes; Cloud and IT as a competitive differentiator</t>
  </si>
  <si>
    <t>5 - IT is integral to and driving business model innovation</t>
  </si>
  <si>
    <t>Driver of Innovation - Desired State Score</t>
  </si>
  <si>
    <t>Agility and Continuous Release - Current State Score (Hybrid)</t>
  </si>
  <si>
    <t>0 - No predictability on speed of release; No DevOps or Agile culture adopted</t>
  </si>
  <si>
    <t>1 - Some repeatable processes and ad-hoc use of Agile and DevOps to improve speed of release</t>
  </si>
  <si>
    <t>2 - Repeatable processes and increasing speed with automation techniques initiated</t>
  </si>
  <si>
    <t>3 - Increasing speed of releases achieved; Consistency in release cycles achieved with regular releases on a defined schedule; Adoption of best techniques - automation during development and integration; Pervasive DevOps and Agile culture</t>
  </si>
  <si>
    <t>4 - Highly effective automated systems in place across various stages of release onto production; Systems in place to monitor and preempt defects pre-production; orchestrated deployment with auto roll backs</t>
  </si>
  <si>
    <t>5 - Optimized continuous delivery - Best in class multi-speed IT able to deliver rapidly (enabling several releases a day if needed) whilst also handing big change projects; zero downtime continuous deployments and actively enforced resiliency</t>
  </si>
  <si>
    <t>Agility and Continuous Release - Desired State Score</t>
  </si>
  <si>
    <t>Responsiveness and Speed to Fulfill / Resolve - Current State Score (Hybrid)</t>
  </si>
  <si>
    <t>0 - Unpredictable responsiveness and fulfillment times (e.g. no clear service catalogue)</t>
  </si>
  <si>
    <t>1 - Limited predictability for repeatable services; Catalog is incomplete and does not contain all services</t>
  </si>
  <si>
    <t>2 - Moderate predictability of service fulfillment - Basic IT services catalog with ad-hoc provisioning; provisioned services have defined options, dependencies and costs</t>
  </si>
  <si>
    <t>3 - Automated provisioning for IT services limited to few LoB's - defined set of standards for catalogue definitions are applied and communicated (e.g. CIMI)</t>
  </si>
  <si>
    <t>4 - Predictable and increasing speed of fulfillment across Enterprise; well defined catalogue of services with defined options, dependencies and costs</t>
  </si>
  <si>
    <t>5 - Best in class - Highly responsive and High speed of fulfillment - ability to rapidly "auto-fulfill" requests in real time against service menu's and continuously evolving; Highly automated environment</t>
  </si>
  <si>
    <t>Responsiveness and Speed to Fulfill / Resolve - Desired State Score</t>
  </si>
  <si>
    <t>Availability and Reliability - Current State Score (Hybrid)</t>
  </si>
  <si>
    <t>0 - Completely unpredictable levels of reliability and predictability</t>
  </si>
  <si>
    <t>1 - Some services have reliability and is measured and tracked against SLA's but not measured against how well service fulfills the necessary business performance needs</t>
  </si>
  <si>
    <t>2 - Most services are reliable and have high application availability; only core services are monitored and tracked against technical SLAs; No system to track against tiered SLAs</t>
  </si>
  <si>
    <t>3 - Regularly performing and improving against progressive SLAs that support business objectives</t>
  </si>
  <si>
    <t>4 - Performing and showing continuous improvement against SLAs</t>
  </si>
  <si>
    <t>5 - Services and systems are highly optimized and highly effective performing to support business service SLAs</t>
  </si>
  <si>
    <t>Availability and Reliability - Desired State Score</t>
  </si>
  <si>
    <t>1 - Some services have reliability and is measured and tracked against SLAs but not measured against how well service fulfills the necessary business performance needs</t>
  </si>
  <si>
    <t>2 - Most services are reliable and have high application availability; only core services are monitored and tracked against technical SLAs; No system to  track against tiered SLAs</t>
  </si>
  <si>
    <t>Infrastructure Data Quality Summary</t>
  </si>
  <si>
    <t>Data Collection Complete</t>
  </si>
  <si>
    <t>Facility Type</t>
  </si>
  <si>
    <t>Co-location Facility</t>
  </si>
  <si>
    <t>Dedicated Cloud Data Center</t>
  </si>
  <si>
    <t>Managed Services Provider Facility</t>
  </si>
  <si>
    <t>Public Cloud Data Center</t>
  </si>
  <si>
    <t>SaaS Facility</t>
  </si>
  <si>
    <t>Facility Disposition</t>
  </si>
  <si>
    <t>Expand</t>
  </si>
  <si>
    <t>Enterprise Data Residency Requirements</t>
  </si>
  <si>
    <t>All Data Has Specific Data Residency Requirements</t>
  </si>
  <si>
    <t>Some Data Has Specific Data Residency Requirements</t>
  </si>
  <si>
    <t>No Specific Data Residency Requirements</t>
  </si>
  <si>
    <t>I'm Not Sure</t>
  </si>
  <si>
    <t>1 - Keep - continue to use for workloads that require this type of environment, expose APIs as needed.</t>
  </si>
  <si>
    <t>Action Category</t>
  </si>
  <si>
    <t>Architecture</t>
  </si>
  <si>
    <t>Data</t>
  </si>
  <si>
    <t>Environments1</t>
  </si>
  <si>
    <t>Environments</t>
  </si>
  <si>
    <t>General</t>
  </si>
  <si>
    <t>Architecture1</t>
  </si>
  <si>
    <t>Proof of Value</t>
  </si>
  <si>
    <t>Project Management</t>
  </si>
  <si>
    <t>Research</t>
  </si>
  <si>
    <t>Testing</t>
  </si>
  <si>
    <t>Enterprise Strategy - Desired State Score</t>
  </si>
  <si>
    <t>Enterprise Strategy - Desired State Score (IBM POV)</t>
  </si>
  <si>
    <t>Very High (Monthly)</t>
  </si>
  <si>
    <t>High(Quarterly)</t>
  </si>
  <si>
    <t>Moderate(Half Yearly)</t>
  </si>
  <si>
    <t>Low(Yearly)</t>
  </si>
  <si>
    <t>HANA</t>
  </si>
  <si>
    <t>Sybase ASE</t>
  </si>
  <si>
    <t>MaxDB</t>
  </si>
  <si>
    <t>Modernization Scenario</t>
  </si>
  <si>
    <t>Re-architect due to obsolete, aging and non-strategic technologies</t>
  </si>
  <si>
    <t>Re-architect to meet NFRs (e.g. availability, scalability, disaster recovery)</t>
  </si>
  <si>
    <t>Re-architect to increase business agility, velocity of new features, automation of business and IT functions (includes app, data and infrastructure modernization)</t>
  </si>
  <si>
    <t>Re-imagine the use of data and AI within key applications to drive business growth and profitability</t>
  </si>
  <si>
    <t>Infrastructure Containerization Summary</t>
  </si>
  <si>
    <t>Containerize All Deployment Units</t>
  </si>
  <si>
    <t>Containerize Some Deployment Units</t>
  </si>
  <si>
    <t>Infrastructure Target Cloud Service Model</t>
  </si>
  <si>
    <t>CaaS</t>
  </si>
  <si>
    <t>FaaS</t>
  </si>
  <si>
    <t>DBaaS</t>
  </si>
  <si>
    <t>ZaaS</t>
  </si>
  <si>
    <t>N/A (Non-Cloud)</t>
  </si>
  <si>
    <t>Infrastructure Target Deployment Option Summary</t>
  </si>
  <si>
    <t>SaaS Cloud</t>
  </si>
  <si>
    <t>Power</t>
  </si>
  <si>
    <t>VMware On Premises</t>
  </si>
  <si>
    <t>Physical Hardware on Premises</t>
  </si>
  <si>
    <t>Edge</t>
  </si>
  <si>
    <t>Quantum</t>
  </si>
  <si>
    <t>API Type</t>
  </si>
  <si>
    <t>Business API</t>
  </si>
  <si>
    <t>Technical API</t>
  </si>
  <si>
    <t>API Includes a Database</t>
  </si>
  <si>
    <t>API Uses MQ</t>
  </si>
  <si>
    <t>Tool Disposition</t>
  </si>
  <si>
    <t>Replace</t>
  </si>
  <si>
    <t>Tool Type</t>
  </si>
  <si>
    <t>Application Modernization</t>
  </si>
  <si>
    <t>DevOps</t>
  </si>
  <si>
    <t>Infrastructure Management</t>
  </si>
  <si>
    <t>Monitoring</t>
  </si>
  <si>
    <t>Tool Phase</t>
  </si>
  <si>
    <t>Advise</t>
  </si>
  <si>
    <t>Move</t>
  </si>
  <si>
    <t>Build</t>
  </si>
  <si>
    <t>Manage</t>
  </si>
  <si>
    <t>Culture &amp; Goals - Current State Score (On Prem)</t>
  </si>
  <si>
    <t>Culture &amp; Goals - Entry Point (IBM POV)</t>
  </si>
  <si>
    <t>Culture &amp; Goals - Desired State Score (IBM POV)</t>
  </si>
  <si>
    <t>Governance &amp; Structure - Current State Score (On Prem)</t>
  </si>
  <si>
    <t>Governance &amp; Structure - Entry Point (IBM POV)</t>
  </si>
  <si>
    <t>Governance &amp; Structure - Desired State Score (IBM POV)</t>
  </si>
  <si>
    <t>Service Portfolio Management - Current State Score (On Prem)</t>
  </si>
  <si>
    <t>Service Portfolio Management - Entry Point (IBM POV)</t>
  </si>
  <si>
    <t>Service Portfolio Management - Desired State Score (IBM POV)</t>
  </si>
  <si>
    <t>Business Process Alignment - Current State Score (On Prem)</t>
  </si>
  <si>
    <t>Business Process Alignment - Entry Point (IBM POV)</t>
  </si>
  <si>
    <t>Business Process Alignment - Desired State Score (IBM POV)</t>
  </si>
  <si>
    <t>Information Lifecycle Mgmt - Current State Score (On Prem)</t>
  </si>
  <si>
    <t>Information Lifecycle Mgmt - Entry Point (IBM POV)</t>
  </si>
  <si>
    <t>Information Lifecycle Mgmt - Desired State Score (IBM POV)</t>
  </si>
  <si>
    <t>IT Architecture - Current State Score (On Prem)</t>
  </si>
  <si>
    <t>IT Architecture - Entry Point (IBM POV)</t>
  </si>
  <si>
    <t>IT Architecture - Desired State Score (IBM POV)</t>
  </si>
  <si>
    <t>Application Strategy - Current State Score (On Prem)</t>
  </si>
  <si>
    <t>Application Strategy - Entry Point (IBM POV)</t>
  </si>
  <si>
    <t>Application Strategy - Desired State Score (IBM POV)</t>
  </si>
  <si>
    <t>Data Management - Current State Score (On Prem)</t>
  </si>
  <si>
    <t>Data Management - Entry Point (IBM POV)</t>
  </si>
  <si>
    <t>Data Management - Desired State Score (IBM POV)</t>
  </si>
  <si>
    <t>Security Management - Current State Score (On Prem)</t>
  </si>
  <si>
    <t>Security Management - Entry Point (IBM POV)</t>
  </si>
  <si>
    <t>Security Management - Desired State Score (IBM POV)</t>
  </si>
  <si>
    <t>SaaS Policy - Current State Score (On Prem)</t>
  </si>
  <si>
    <t>SaaS Policy - Entry Point (IBM POV)</t>
  </si>
  <si>
    <t>SaaS Policy - Desired State Score (IBM POV)</t>
  </si>
  <si>
    <t>PaaS Adoption - Current State Score (On Prem)</t>
  </si>
  <si>
    <t>PaaS Adoption - Entry Point (IBM POV)</t>
  </si>
  <si>
    <t>PaaS Adoption - Desired State Score (IBM POV)</t>
  </si>
  <si>
    <t>IPaaS Adoption - Current State Score (On Prem)</t>
  </si>
  <si>
    <t>IPaaS Adoption - Entry Point (IBM POV)</t>
  </si>
  <si>
    <t>IPaaS Adoption - Desired State Score (IBM POV)</t>
  </si>
  <si>
    <t>IaaS Adoption - Current State Score (On Prem)</t>
  </si>
  <si>
    <t>IaaS Adoption - Entry Point (IBM POV)</t>
  </si>
  <si>
    <t>IaaS Adoption - Desired State Score (IBM POV)</t>
  </si>
  <si>
    <t>STaaS Adoption - Current State Score (On Prem)</t>
  </si>
  <si>
    <t>STaaS Adoption - Entry Point (IBM POV)</t>
  </si>
  <si>
    <t>STaaS Adoption - Desired State Score (IBM POV)</t>
  </si>
  <si>
    <t>Expertise - Current State Score (On Prem)</t>
  </si>
  <si>
    <t>Expertise - Entry Point (IBM POV)</t>
  </si>
  <si>
    <t>Expertise - Desired State Score (IBM POV)</t>
  </si>
  <si>
    <t>Working Environment  - Current State Score (On Prem)</t>
  </si>
  <si>
    <t>Working Environment  - Entry Point (IBM POV)</t>
  </si>
  <si>
    <t>Working Environment  - Desired State Score (IBM POV)</t>
  </si>
  <si>
    <t>Project Lifecycle - Current State Score (On Prem)</t>
  </si>
  <si>
    <t>Project Lifecycle - Entry Point (IBM POV)</t>
  </si>
  <si>
    <t>Project Lifecycle - Desired State Score (IBM POV)</t>
  </si>
  <si>
    <t>Procurement Integration - Current State Score (On Prem)</t>
  </si>
  <si>
    <t>Procurement Integration - Entry Point (IBM POV)</t>
  </si>
  <si>
    <t>Procurement Integration - Desired State Score (IBM POV)</t>
  </si>
  <si>
    <t>DevOps Automation - Current State Score (On Prem)</t>
  </si>
  <si>
    <t>DevOps Automation - Entry Point (IBM POV)</t>
  </si>
  <si>
    <t>DevOps Automation - Desired State Score (IBM POV)</t>
  </si>
  <si>
    <t>Integrated Operations (IT) - Current State Score (On Prem)</t>
  </si>
  <si>
    <t>Integrated Operations (IT) - Entry Point (IBM POV)</t>
  </si>
  <si>
    <t>Integrated Operations (IT) - Desired State Score (IBM POV)</t>
  </si>
  <si>
    <t>Cloud Management Platform - Current State Score (On Prem)</t>
  </si>
  <si>
    <t>Cloud Management Platform - Entry Point (IBM POV)</t>
  </si>
  <si>
    <t>Cloud Management Platform - Desired State Score (IBM POV)</t>
  </si>
  <si>
    <t>Commercial Supply Model - Current State Score (On Prem)</t>
  </si>
  <si>
    <t>Commercial Supply Model - Entry Point (IBM POV)</t>
  </si>
  <si>
    <t>Commercial Supply Model - Desired State Score (IBM POV)</t>
  </si>
  <si>
    <t>Finance Model - Current State Score (On Prem)</t>
  </si>
  <si>
    <t>Finance Model - Entry Point (IBM POV)</t>
  </si>
  <si>
    <t>Finance Model - Desired State Score (IBM POV)</t>
  </si>
  <si>
    <t>Risk Management - Current State Score (On Prem)</t>
  </si>
  <si>
    <t>Risk Management - Entry Point (IBM POV)</t>
  </si>
  <si>
    <t>Risk Management - Desired State Score (IBM POV)</t>
  </si>
  <si>
    <t>Compliance Controls - Current State Score (On Prem)</t>
  </si>
  <si>
    <t>Compliance Controls - Entry Point (IBM POV)</t>
  </si>
  <si>
    <t>Compliance Controls - Desired State Score (IBM POV)</t>
  </si>
  <si>
    <t>Driver of Innovation - Current State Score (On Prem)</t>
  </si>
  <si>
    <t>Driver of Innovation - Entry Point (IBM POV)</t>
  </si>
  <si>
    <t>Driver of Innovation - Desired State Score (IBM POV)</t>
  </si>
  <si>
    <t>Value for Money - Current State Score (On Prem)</t>
  </si>
  <si>
    <t>Value for Money - Entry Point (IBM POV)</t>
  </si>
  <si>
    <t>Value for Money - Desired State Score (IBM POV)</t>
  </si>
  <si>
    <t>Agility and Continuous Release - Current State Score (On Prem)</t>
  </si>
  <si>
    <t>Agility and Continuous Release - Entry Point (IBM POV)</t>
  </si>
  <si>
    <t>Agility and Continuous Release - Desired State Score (IBM POV)</t>
  </si>
  <si>
    <t>Responsiveness and Speed to Fulfill / Resolve - Current State Score (On Prem)</t>
  </si>
  <si>
    <t>Responsiveness and Speed to Fulfill / Resolve - Entry Point (IBM POV)</t>
  </si>
  <si>
    <t>Responsiveness and Speed to Fulfill / Resolve - Desired State Score (IBM POV)</t>
  </si>
  <si>
    <t>Availability and Reliability - Current State Score (On Prem)</t>
  </si>
  <si>
    <t>Availability and Reliability - Entry Point (IBM POV)</t>
  </si>
  <si>
    <t>Availability and Reliability - Desired State Score (IBM POV)</t>
  </si>
  <si>
    <t>Total Cost of Ownership (TCO) - Current State Score (On Prem)</t>
  </si>
  <si>
    <t>Total Cost of Ownership (TCO) - Entry Point (IBM POV)</t>
  </si>
  <si>
    <t>Total Cost of Ownership (TCO) - Desired State Score (IBM POV)</t>
  </si>
  <si>
    <t>Mission Critical</t>
  </si>
  <si>
    <t>All Application Components Are Mission Critical</t>
  </si>
  <si>
    <t>Partial - Included</t>
  </si>
  <si>
    <t>Partial - Not Included</t>
  </si>
  <si>
    <t>Not Mission Critical</t>
  </si>
  <si>
    <t>Data Security and Compliance Complexity</t>
  </si>
  <si>
    <t>PCI</t>
  </si>
  <si>
    <t>SOX</t>
  </si>
  <si>
    <t>PII</t>
  </si>
  <si>
    <t>SSI</t>
  </si>
  <si>
    <t>Application Uses Java</t>
  </si>
  <si>
    <t>Application Uses .NET</t>
  </si>
  <si>
    <t>Parent Application Frequency of Change</t>
  </si>
  <si>
    <t>Source Code Scan Status</t>
  </si>
  <si>
    <t>N/A - Source Code Not Available</t>
  </si>
  <si>
    <t>N/A - Source Code Not Required</t>
  </si>
  <si>
    <t>Change in Disposition</t>
  </si>
  <si>
    <t>Phase 1 BlueCAT Disposition</t>
  </si>
  <si>
    <t>Revenue Growth Potential</t>
  </si>
  <si>
    <t>Application Agility Benefit</t>
  </si>
  <si>
    <t>Cost Savings Potential</t>
  </si>
  <si>
    <t>Target is Higher</t>
  </si>
  <si>
    <t>Break Even Not Possible</t>
  </si>
  <si>
    <t>Question 1</t>
  </si>
  <si>
    <t>Question 2</t>
  </si>
  <si>
    <t>Question 3</t>
  </si>
  <si>
    <t>Question 4</t>
  </si>
  <si>
    <t>Question 5</t>
  </si>
  <si>
    <t>Question 6</t>
  </si>
  <si>
    <t>Question 7</t>
  </si>
  <si>
    <t>Question 8</t>
  </si>
  <si>
    <t>Question 9</t>
  </si>
  <si>
    <t>Question 10</t>
  </si>
  <si>
    <t>Question 11</t>
  </si>
  <si>
    <t>Question 12</t>
  </si>
  <si>
    <t>Question 13</t>
  </si>
  <si>
    <t>Question 14</t>
  </si>
  <si>
    <t>Question 15</t>
  </si>
  <si>
    <t>Question 16</t>
  </si>
  <si>
    <t>Question 17</t>
  </si>
  <si>
    <t>Question 18</t>
  </si>
  <si>
    <t>Quantum Affinity</t>
  </si>
  <si>
    <t>Not Enough Data</t>
  </si>
  <si>
    <t>IsJava</t>
  </si>
  <si>
    <t>IsMQ</t>
  </si>
  <si>
    <t>IsDotNet</t>
  </si>
  <si>
    <t>Runtime Platform Type</t>
  </si>
  <si>
    <t>Appliance</t>
  </si>
  <si>
    <t>Cloud</t>
  </si>
  <si>
    <t>Distributed - Physical Server</t>
  </si>
  <si>
    <t>Distributed - Virtual Server</t>
  </si>
  <si>
    <t>Exadata</t>
  </si>
  <si>
    <t>Teradata</t>
  </si>
  <si>
    <t>Vendor Support</t>
  </si>
  <si>
    <t>Open Source - Current</t>
  </si>
  <si>
    <t>Supported - Current</t>
  </si>
  <si>
    <t>Supported - Downlevel</t>
  </si>
  <si>
    <t>Unsupported - Extended Life</t>
  </si>
  <si>
    <t>Unsupported - End of Life</t>
  </si>
  <si>
    <t>Open Source - Downlevel</t>
  </si>
  <si>
    <t>Target Platform Restrictions - Performance</t>
  </si>
  <si>
    <t>Any</t>
  </si>
  <si>
    <t>Target Platform Restrictions - Security</t>
  </si>
  <si>
    <t>Mainframe Only</t>
  </si>
  <si>
    <t>On Premises Only</t>
  </si>
  <si>
    <t>Regional Restrictions</t>
  </si>
  <si>
    <t>Single Tenant Only</t>
  </si>
  <si>
    <t>Business Value of Cloud Enablement</t>
  </si>
  <si>
    <t>Continuous</t>
  </si>
  <si>
    <t>Once a Day</t>
  </si>
  <si>
    <t>Once a Month</t>
  </si>
  <si>
    <t>Near Real Time</t>
  </si>
  <si>
    <t>Within 3 Seconds</t>
  </si>
  <si>
    <t>Within 5 Seconds</t>
  </si>
  <si>
    <t>Within One Day</t>
  </si>
  <si>
    <t>Mainframe - Online</t>
  </si>
  <si>
    <t>Mainframe - Batch</t>
  </si>
  <si>
    <t>Mainframe - Utility</t>
  </si>
  <si>
    <t>Mainframe - Data</t>
  </si>
  <si>
    <t>Mainframe - Data Processing</t>
  </si>
  <si>
    <t>Mainframe - Integration</t>
  </si>
  <si>
    <t>Mainframe - Other</t>
  </si>
  <si>
    <t>BPM</t>
  </si>
  <si>
    <t>Mainframe - BPM</t>
  </si>
  <si>
    <t>Mainframe - CICS</t>
  </si>
  <si>
    <t>System Classification</t>
  </si>
  <si>
    <t>Business Web Service</t>
  </si>
  <si>
    <t>System of Engagement</t>
  </si>
  <si>
    <t>System of Integration</t>
  </si>
  <si>
    <t>System of Insight</t>
  </si>
  <si>
    <t>System of Record</t>
  </si>
  <si>
    <t>Service</t>
  </si>
  <si>
    <t>Business Process Management</t>
  </si>
  <si>
    <t>Cloud Platform</t>
  </si>
  <si>
    <t>Mobile</t>
  </si>
  <si>
    <t>Application Interface Complexity</t>
  </si>
  <si>
    <t>100041.Value</t>
  </si>
  <si>
    <t>100066.Value</t>
  </si>
  <si>
    <t>100017.Value</t>
  </si>
  <si>
    <t>1000632.Value</t>
  </si>
  <si>
    <t>Application Application Level of Customization</t>
  </si>
  <si>
    <t>100013.Value</t>
  </si>
  <si>
    <t>100016.Value</t>
  </si>
  <si>
    <t>100050.Value</t>
  </si>
  <si>
    <t>100047.Value</t>
  </si>
  <si>
    <t>100057.Value</t>
  </si>
  <si>
    <t>100097.Value</t>
  </si>
  <si>
    <t>100087.Value</t>
  </si>
  <si>
    <t>100086.Value</t>
  </si>
  <si>
    <t>Application Disposition Category</t>
  </si>
  <si>
    <t>100061.Value</t>
  </si>
  <si>
    <t>100056.Value</t>
  </si>
  <si>
    <t>100053.Value</t>
  </si>
  <si>
    <t>100169.Value</t>
  </si>
  <si>
    <t>100048.Value</t>
  </si>
  <si>
    <t>100009.Value</t>
  </si>
  <si>
    <t>Application Application Strategic Value</t>
  </si>
  <si>
    <t>Application Business Value of Exposing APIS</t>
  </si>
  <si>
    <t>Application Frequency of Change</t>
  </si>
  <si>
    <t>Application Business Value of Cloud Enablement</t>
  </si>
  <si>
    <t>Application Number of Virtual Servers</t>
  </si>
  <si>
    <t>Application Number of Physical Servers</t>
  </si>
  <si>
    <t>Application Application Total OSIs</t>
  </si>
  <si>
    <t>Application Deployment Option Summary</t>
  </si>
  <si>
    <t>Cloud Service Model Summary</t>
  </si>
  <si>
    <t>Data Base Volum (Go)</t>
  </si>
  <si>
    <t>100003.Value</t>
  </si>
  <si>
    <t>What is the BD size</t>
  </si>
  <si>
    <t>100073.Value</t>
  </si>
  <si>
    <t>Use Cloud Technology</t>
  </si>
  <si>
    <t>Effort Of Cloud Enablement Application Dictionnary</t>
  </si>
  <si>
    <t>Application Name</t>
  </si>
  <si>
    <t>En production</t>
  </si>
  <si>
    <t>Client Lourd</t>
  </si>
  <si>
    <t>Cloud ready</t>
  </si>
  <si>
    <t>Aucune</t>
  </si>
  <si>
    <t>Oui</t>
  </si>
  <si>
    <t>Non</t>
  </si>
  <si>
    <t>Progiciel</t>
  </si>
  <si>
    <t>Le dysfonctionnement de cette application peut-il nuire à l'image de l'entreprise ?</t>
  </si>
  <si>
    <t xml:space="preserve">Le dysfonctionnement de cette application peut-il entraîner une perte financière? </t>
  </si>
  <si>
    <t>Impact Image</t>
  </si>
  <si>
    <t>Impact Financier</t>
  </si>
  <si>
    <t>Le nombre moyen de personnes (ETP) ayant travaillé sur le code au cours des 12 derniers mois ?</t>
  </si>
  <si>
    <t>Nombre ETP</t>
  </si>
  <si>
    <t>Cette application est-elle conforme à l'orientation technologique future de l'entreprise ?</t>
  </si>
  <si>
    <t>Existe-t-il une obligation de conformité réglementaire de l'application ?</t>
  </si>
  <si>
    <t>Conformité réglementaire</t>
  </si>
  <si>
    <t>Est-ce que l'application doit être remplacée/réecrite à moyen terme (3 ans), à long terme (6 ans)  ?</t>
  </si>
  <si>
    <t>Quelle est la plage d'utilisation en réel de l'application ?</t>
  </si>
  <si>
    <t>Quel est le nombre de hits au cours des 12 derniers mois ?</t>
  </si>
  <si>
    <t>Nombre de hits</t>
  </si>
  <si>
    <t>Le nombre de MEP effectuées au cours des 12 derniers mois ?</t>
  </si>
  <si>
    <t>Nombre de MEP</t>
  </si>
  <si>
    <t>Cette applications est-elle considérée comme appartenant au domaine d'application "Socle Commun" ?</t>
  </si>
  <si>
    <t>Quel est le type de méthode de conduite de projet utilisé pour developper l'application</t>
  </si>
  <si>
    <t>Méthodologie</t>
  </si>
  <si>
    <t>Quelle est la plate-forme de déploiement actuelle ? (plusieurs réponses possibles)</t>
  </si>
  <si>
    <t>Plateforme de déploiement</t>
  </si>
  <si>
    <t xml:space="preserve">L'interface graphique ou l'interface d’entrée de l'application doit-il être installé par entité (fédération, banque, guichet, etc…) ? </t>
  </si>
  <si>
    <t xml:space="preserve">La base de données open de l'application est-elle dédiée par entité (fédération, banque, guichet, etc…) ? </t>
  </si>
  <si>
    <r>
      <t xml:space="preserve">Quel est le moteur de la base de données open de l'application ? </t>
    </r>
    <r>
      <rPr>
        <i/>
        <sz val="11"/>
        <rFont val="Calibri"/>
        <family val="2"/>
        <scheme val="minor"/>
      </rPr>
      <t xml:space="preserve"> (plusieurs réponses possibles)</t>
    </r>
  </si>
  <si>
    <t>Moteur de BD</t>
  </si>
  <si>
    <t>Est-ce que l'application utilise des technologies cloud ou micro service ?</t>
  </si>
  <si>
    <t>Est-ce que cette application participe à un parcours particulier ?  (plusieurs réponses possibles)</t>
  </si>
  <si>
    <t>Quel est le mécanisme actuel d'authentification des utilisateurs ?   (plusieurs réponses possibles)</t>
  </si>
  <si>
    <t>Authentification</t>
  </si>
  <si>
    <r>
      <t xml:space="preserve">Comment les fonctionnalités de l'application sont-elles exposées aux services/applications externes ?  </t>
    </r>
    <r>
      <rPr>
        <i/>
        <sz val="11"/>
        <rFont val="Calibri"/>
        <family val="2"/>
        <scheme val="minor"/>
      </rPr>
      <t>(plusieurs réponses possibles)</t>
    </r>
  </si>
  <si>
    <t>Comment consommez-vous les données de votre application ?  (plusieurs réponses possibles)</t>
  </si>
  <si>
    <r>
      <t>Est-ce que l'application est Sitex, Conso, Presse, Cofpart, Internationale ou LSI ?</t>
    </r>
    <r>
      <rPr>
        <i/>
        <sz val="11"/>
        <rFont val="Calibri"/>
        <family val="2"/>
        <scheme val="minor"/>
      </rPr>
      <t xml:space="preserve">  (plusieurs réponses possibles)</t>
    </r>
  </si>
  <si>
    <t>Est-ce que les différents paquets ou codes source de ce code applicatif robin participent au même objectif fonctionnel ou technique? Si non, merci de détailler</t>
  </si>
  <si>
    <t>200000.Value</t>
  </si>
  <si>
    <t>200001.Value</t>
  </si>
  <si>
    <t>200002.Value</t>
  </si>
  <si>
    <t>200005.Value</t>
  </si>
  <si>
    <t>200006.Value</t>
  </si>
  <si>
    <t>200007.Value</t>
  </si>
  <si>
    <t>200008.Value</t>
  </si>
  <si>
    <t>200009.Value</t>
  </si>
  <si>
    <t>200010.Value</t>
  </si>
  <si>
    <t>200011.Value</t>
  </si>
  <si>
    <t>200012.Value</t>
  </si>
  <si>
    <t>200013.Value</t>
  </si>
  <si>
    <t>200014.Value</t>
  </si>
  <si>
    <t>200015.Value</t>
  </si>
  <si>
    <t>200016.Value</t>
  </si>
  <si>
    <t>200017.Value</t>
  </si>
  <si>
    <t>Objectif fonctionnel commun de tous les paquets</t>
  </si>
  <si>
    <t>200018.Value</t>
  </si>
  <si>
    <t>200019.Value</t>
  </si>
  <si>
    <t>200020.Value</t>
  </si>
  <si>
    <t>200021.Value</t>
  </si>
  <si>
    <t>200022.Value</t>
  </si>
  <si>
    <t>En production et d'importantes modifications en cours</t>
  </si>
  <si>
    <t>Calculated / CAST</t>
  </si>
  <si>
    <t>Nom de l'application</t>
  </si>
  <si>
    <t>200003.Value</t>
  </si>
  <si>
    <t>cloud Readiness</t>
  </si>
  <si>
    <t>200004.Value</t>
  </si>
  <si>
    <t>200023.Value</t>
  </si>
  <si>
    <t>Business Criticality Pourcentage</t>
  </si>
  <si>
    <t>Scan Cloud Readiness Pourcentage</t>
  </si>
  <si>
    <t>Cloud Readiness</t>
  </si>
  <si>
    <t>Cloud Readiness Pourcentage</t>
  </si>
  <si>
    <t>200024.Value</t>
  </si>
  <si>
    <t>200025.Value</t>
  </si>
  <si>
    <t>200026.Value</t>
  </si>
  <si>
    <t>Survey Cloud Readiness Poucentage</t>
  </si>
  <si>
    <t>Internes</t>
  </si>
  <si>
    <t>Externes</t>
  </si>
  <si>
    <t>Internes et Externes</t>
  </si>
  <si>
    <t>Entre 0 et 100</t>
  </si>
  <si>
    <t>Entre 101 et 10.000</t>
  </si>
  <si>
    <t>Entre 10.001 et 100.000</t>
  </si>
  <si>
    <t>Supérieur à 100.001</t>
  </si>
  <si>
    <t>Oui (à préciser)</t>
  </si>
  <si>
    <t>Moyen terme (3 ans)</t>
  </si>
  <si>
    <t>Long terme (6 ans)</t>
  </si>
  <si>
    <t>Autre (à préciser)</t>
  </si>
  <si>
    <t>Heures Ouvrées Agence</t>
  </si>
  <si>
    <t>H24</t>
  </si>
  <si>
    <t>Entre 0 et 1M</t>
  </si>
  <si>
    <t>Entre 1 et 2M</t>
  </si>
  <si>
    <t>Entre 2 et 5M</t>
  </si>
  <si>
    <t>Supérieur à 5M</t>
  </si>
  <si>
    <t>Entre 0 et 12</t>
  </si>
  <si>
    <t>Entre 12 et 25</t>
  </si>
  <si>
    <t>Entre 25 et 60</t>
  </si>
  <si>
    <t>Supérieur à 60</t>
  </si>
  <si>
    <t>Entre 0 et 10</t>
  </si>
  <si>
    <t>Entre 10 et 50</t>
  </si>
  <si>
    <t>Entre 50 et 100</t>
  </si>
  <si>
    <t>Ne sais pas</t>
  </si>
  <si>
    <t>Cycle en V</t>
  </si>
  <si>
    <t>Agile</t>
  </si>
  <si>
    <t>AS400</t>
  </si>
  <si>
    <t>AIX</t>
  </si>
  <si>
    <t>Unix</t>
  </si>
  <si>
    <t>Cloud Privé</t>
  </si>
  <si>
    <t>Non applicable</t>
  </si>
  <si>
    <t>Faible (Manuel)</t>
  </si>
  <si>
    <t>Elevé (Chaîne de déploiement)</t>
  </si>
  <si>
    <t>Très élevé (devops)</t>
  </si>
  <si>
    <t>Non Applicable</t>
  </si>
  <si>
    <t>MySQL</t>
  </si>
  <si>
    <t>MongoDB</t>
  </si>
  <si>
    <t>PosgreSQL</t>
  </si>
  <si>
    <t>Amazon</t>
  </si>
  <si>
    <t>BAD</t>
  </si>
  <si>
    <t>GAB</t>
  </si>
  <si>
    <t>Pas d'exposition</t>
  </si>
  <si>
    <t>Exposition via WebService</t>
  </si>
  <si>
    <t>DLL</t>
  </si>
  <si>
    <t>Non concerné</t>
  </si>
  <si>
    <t>Retiré/demonté</t>
  </si>
  <si>
    <t>Vendu en tant que SaaS</t>
  </si>
  <si>
    <t>Presse (SP)</t>
  </si>
  <si>
    <t>Internationale (KH)</t>
  </si>
  <si>
    <t>libellé1</t>
  </si>
  <si>
    <t>libellé2</t>
  </si>
  <si>
    <t>libellé3</t>
  </si>
  <si>
    <t>libellé4</t>
  </si>
  <si>
    <t>libellé5</t>
  </si>
  <si>
    <t>libellé6</t>
  </si>
  <si>
    <t>libellé7</t>
  </si>
  <si>
    <t>libellé8</t>
  </si>
  <si>
    <t>poids1</t>
  </si>
  <si>
    <t>poids2</t>
  </si>
  <si>
    <t>poids3</t>
  </si>
  <si>
    <t>poids4</t>
  </si>
  <si>
    <t>poids5</t>
  </si>
  <si>
    <t>poids6</t>
  </si>
  <si>
    <t>poids7</t>
  </si>
  <si>
    <t>poids8</t>
  </si>
  <si>
    <t>Faible (Pas d'impact)</t>
  </si>
  <si>
    <t>Moyen (impact Réseau banque et assurance)</t>
  </si>
  <si>
    <t>Elevé (impact utilisateurs finaux)</t>
  </si>
  <si>
    <t>Impact grave</t>
  </si>
  <si>
    <t>Entre 0 et 3</t>
  </si>
  <si>
    <t>Entre 3 et 10</t>
  </si>
  <si>
    <t>Supérieur à 50</t>
  </si>
  <si>
    <t>Supérieur à 100</t>
  </si>
  <si>
    <t>plage d'utilisation</t>
  </si>
  <si>
    <t>Socle Commun</t>
  </si>
  <si>
    <t xml:space="preserve"> remplacé</t>
  </si>
  <si>
    <t>Interface par entité</t>
  </si>
  <si>
    <t>BD dédiée par entité</t>
  </si>
  <si>
    <t>Parcours particulier</t>
  </si>
  <si>
    <t>Exposition des fonctionalités</t>
  </si>
  <si>
    <t>Conso</t>
  </si>
  <si>
    <t>Langage</t>
  </si>
  <si>
    <t>L'application est-elle destinée à des utilisateurs internes ou externes, services internes ou externes ?</t>
  </si>
  <si>
    <t>Quel est le nombre d'évolution sur les 12 derniers mois ? (max évolution RUBIS=188)</t>
  </si>
  <si>
    <t xml:space="preserve">Quel est le niveau d'automatisation du processus de déploiement ? </t>
  </si>
  <si>
    <r>
      <t>Quelle est l'affinité de l'application pour le cloud ?</t>
    </r>
    <r>
      <rPr>
        <i/>
        <sz val="11"/>
        <rFont val="Calibri"/>
        <family val="2"/>
        <scheme val="minor"/>
      </rPr>
      <t xml:space="preserve"> </t>
    </r>
  </si>
  <si>
    <t>Cobol</t>
  </si>
  <si>
    <t>Cofidis Groupe (KF)</t>
  </si>
  <si>
    <t>libellé9</t>
  </si>
  <si>
    <t>libellé10</t>
  </si>
  <si>
    <t>libellé11</t>
  </si>
  <si>
    <t>libellé12</t>
  </si>
  <si>
    <t>libellé13</t>
  </si>
  <si>
    <t>libellé14</t>
  </si>
  <si>
    <t>ASP</t>
  </si>
  <si>
    <t>nodejs</t>
  </si>
  <si>
    <t>poids9</t>
  </si>
  <si>
    <t>poids10</t>
  </si>
  <si>
    <t>poids11</t>
  </si>
  <si>
    <t>poids12</t>
  </si>
  <si>
    <t>poids13</t>
  </si>
  <si>
    <t>poids14</t>
  </si>
  <si>
    <t>Services Sans IHM</t>
  </si>
  <si>
    <t>200027.Value</t>
  </si>
  <si>
    <t>Cloud Affinity</t>
  </si>
  <si>
    <t>En production et à retirer/démonter avant 2026</t>
  </si>
  <si>
    <t>En production et à remplacer par une application existante ou nouvelle avant 2026</t>
  </si>
  <si>
    <t>En production et à remplacer par une application externe à intégrer dans le SI avant 2026</t>
  </si>
  <si>
    <t>Quel est le pourcentage de programmes qui respectent l'architecture C14 ?</t>
  </si>
  <si>
    <t>0%</t>
  </si>
  <si>
    <t>Entre 1% et 25%</t>
  </si>
  <si>
    <t>Entre 26% et 50%</t>
  </si>
  <si>
    <t>Entre 51% et 75%</t>
  </si>
  <si>
    <t>Entre 76% et 99%</t>
  </si>
  <si>
    <t>100%</t>
  </si>
  <si>
    <t>200028.Value</t>
  </si>
  <si>
    <t>Architecture C14</t>
  </si>
  <si>
    <t>Type Questionnaire</t>
  </si>
  <si>
    <t>Impact</t>
  </si>
  <si>
    <t>Numéro</t>
  </si>
  <si>
    <t>Questions</t>
  </si>
  <si>
    <t>Source</t>
  </si>
  <si>
    <t>max</t>
  </si>
  <si>
    <t>somme</t>
  </si>
  <si>
    <t>Priorité</t>
  </si>
  <si>
    <t>Réponse</t>
  </si>
  <si>
    <t>poids%</t>
  </si>
  <si>
    <t>pas exclusif</t>
  </si>
  <si>
    <t>Criticité</t>
  </si>
  <si>
    <t>Image</t>
  </si>
  <si>
    <t>Responsable de domaine</t>
  </si>
  <si>
    <t>Somme min</t>
  </si>
  <si>
    <t>Financier</t>
  </si>
  <si>
    <t>Somme max</t>
  </si>
  <si>
    <t>Disponibilité</t>
  </si>
  <si>
    <t>Somme réponse</t>
  </si>
  <si>
    <t>Population</t>
  </si>
  <si>
    <t>Cartographie (uniquement pour ATEL)</t>
  </si>
  <si>
    <t>Criticité en %</t>
  </si>
  <si>
    <t>Technique</t>
  </si>
  <si>
    <t>Cartographie</t>
  </si>
  <si>
    <t>Gestion de projet</t>
  </si>
  <si>
    <t>Cloud Readiness en %</t>
  </si>
  <si>
    <t>Donnée</t>
  </si>
  <si>
    <t>Fonctionnelle</t>
  </si>
  <si>
    <t>Autre</t>
  </si>
  <si>
    <t xml:space="preserve">ASPX      </t>
  </si>
  <si>
    <t>C#   </t>
  </si>
  <si>
    <t xml:space="preserve">Devbooster C#       </t>
  </si>
  <si>
    <t xml:space="preserve">CPP        </t>
  </si>
  <si>
    <t xml:space="preserve">VB          </t>
  </si>
  <si>
    <t xml:space="preserve">PHP        </t>
  </si>
  <si>
    <t xml:space="preserve">JavaScript                          </t>
  </si>
  <si>
    <t xml:space="preserve">Shell      </t>
  </si>
  <si>
    <t xml:space="preserve">Python  </t>
  </si>
  <si>
    <t xml:space="preserve">Java                      </t>
  </si>
  <si>
    <t>200029.Value</t>
  </si>
  <si>
    <t>Via le mainframe</t>
  </si>
  <si>
    <t>Roadblocks</t>
  </si>
  <si>
    <t>Technologies</t>
  </si>
  <si>
    <t>Software Resiliency</t>
  </si>
  <si>
    <t>Software Agility</t>
  </si>
  <si>
    <t>Software Elegance</t>
  </si>
  <si>
    <t>Software Health</t>
  </si>
  <si>
    <t>CAST</t>
  </si>
  <si>
    <t>Exposition via API REST</t>
  </si>
  <si>
    <t>Flux financier important (exemple SWIFT)</t>
  </si>
  <si>
    <t>Presse</t>
  </si>
  <si>
    <t>Batch Open</t>
  </si>
  <si>
    <t>Pour le mainframe, quel est le pourcentage de programmes qui respectent l'architecture C14 ?</t>
  </si>
  <si>
    <t>En développement/construction</t>
  </si>
  <si>
    <t>GRC Maroc (SY)</t>
  </si>
  <si>
    <t>200030.Value</t>
  </si>
  <si>
    <t>200031.Value</t>
  </si>
  <si>
    <t>200032.Value</t>
  </si>
  <si>
    <t>200033.Value</t>
  </si>
  <si>
    <t>200034.Value</t>
  </si>
  <si>
    <t>200035.Value</t>
  </si>
  <si>
    <t>Est-ce que les différents paquets ou codes source de ce code application ROBIN participent au même objectif fonctionnel ? Si non, merci de détailler</t>
  </si>
  <si>
    <t>Quel est l'état courant du cycle de vie de l'application ?</t>
  </si>
  <si>
    <t>Est-ce que cette application participe à un parcours sensible / critique ? (plusieurs réponses possibles)</t>
  </si>
  <si>
    <t>Quelle est la plage d'utilisation de l'application ? (si plusieurs, prendre la plus large)</t>
  </si>
  <si>
    <t>Non Applicable (exemple : application qui ne comporte que des batchs)</t>
  </si>
  <si>
    <t>Quel est le nombre total d'utilisateurs finaux tous sites confondus ?</t>
  </si>
  <si>
    <t>L'interface graphique ou l'interface d’entrée de l'application est elle dédiée par entité (fédération, banque, guichet, etc…) ?</t>
  </si>
  <si>
    <t>Quelle est la plateforme de déploiement actuelle ? (plusieurs réponses possibles)</t>
  </si>
  <si>
    <t>Z/OS - Mainframe</t>
  </si>
  <si>
    <t>Windows non Webfarm (serveurs spécifiques)</t>
  </si>
  <si>
    <t>Est-ce que l'application est utilisée sur Sitex, Conso, Presse, Cofpart, Internationale, LSI ou Autorisation ? (plusieurs réponses possibles)</t>
  </si>
  <si>
    <t>Quelle est la catégorie de l'application ? (plusieurs réponses possibles)</t>
  </si>
  <si>
    <t>Appliance (application matérielle)</t>
  </si>
  <si>
    <t>Quels sont les langages principaux de l'application ? (plusieurs choix possibles)</t>
  </si>
  <si>
    <t>Quel est le mécanisme actuel d'authentification (user/mot de passe) des utilisateurs ? (plusieurs réponses possibles)</t>
  </si>
  <si>
    <t>Certificat</t>
  </si>
  <si>
    <t>Quel est le moteur de la base de données OPEN (local) de l'application ?  (plusieurs réponses possibles)</t>
  </si>
  <si>
    <t>Microsoft SQL Server</t>
  </si>
  <si>
    <t>Utilisez-vous des fonctions de Machine Learning ou Data Analytics ?</t>
  </si>
  <si>
    <t>Machine Learning ou Data Analytics</t>
  </si>
  <si>
    <t>Comment les fonctionnalités de l'application sont-elles exposées aux autres services / applications ? (plusieurs réponses possibles)</t>
  </si>
  <si>
    <t>Est-ce que vous envisagez de créer des services / API (hors mainframe) dans votre application ?</t>
  </si>
  <si>
    <t>Est-ce que des composants technologiques (serveur d'application, base de données, etc...) de votre application sont obsolètes ?</t>
  </si>
  <si>
    <t>Votre application utilise-t-elle des logiciels tiers ou des composants techniques tiers (non développés par Euro-Information) ?</t>
  </si>
  <si>
    <t>Si l'application est en dehors d'ATEL, est ce qu'elle a des dépendances avec d'autres applications ? Exemple (DLLs, Appels TSI, Webservices, Appels aux BD, ..)</t>
  </si>
  <si>
    <t>Quelle est la méthode de conduite de projet utilisée pour développer l'application ?</t>
  </si>
  <si>
    <t>Equipe</t>
  </si>
  <si>
    <t xml:space="preserve">Domaine </t>
  </si>
  <si>
    <t>Bloc</t>
  </si>
  <si>
    <t>200036.Value</t>
  </si>
  <si>
    <t>200037.Value</t>
  </si>
  <si>
    <t>200038.Value</t>
  </si>
  <si>
    <t>Heures ouvrées Back-Office / Siège / EI</t>
  </si>
  <si>
    <t>Sans authentification</t>
  </si>
  <si>
    <t>Moyen (ATEL / Outil de livraison)</t>
  </si>
  <si>
    <t>Impact significatif mais maîtrisable</t>
  </si>
  <si>
    <t>Quel est la fillière de build?</t>
  </si>
  <si>
    <t>Filière</t>
  </si>
  <si>
    <t>Webfarm (Windows)</t>
  </si>
  <si>
    <t>Sitex (GI / HI / KI / UI)</t>
  </si>
  <si>
    <t>Conso (SI / II)</t>
  </si>
  <si>
    <t>LSI / SIDU (KJ / ZJ)</t>
  </si>
  <si>
    <t>min</t>
  </si>
  <si>
    <t>Oui (préciser le type d'installation)</t>
  </si>
  <si>
    <t>Activité Devbooster</t>
  </si>
  <si>
    <t>Authentification utilisateur / mot de passe</t>
  </si>
  <si>
    <t>EBS (KA / KE)</t>
  </si>
  <si>
    <t>Lines of Code</t>
  </si>
  <si>
    <t>Commentaire</t>
  </si>
  <si>
    <t>200039.Value</t>
  </si>
  <si>
    <t>200040.Value</t>
  </si>
  <si>
    <t>Technologies Cartographie</t>
  </si>
  <si>
    <t>200041.Value</t>
  </si>
  <si>
    <t>200042.Value</t>
  </si>
  <si>
    <t>200043.Value</t>
  </si>
  <si>
    <t>API</t>
  </si>
  <si>
    <t>Obsolete</t>
  </si>
  <si>
    <t>Tier</t>
  </si>
  <si>
    <t>Dépendance</t>
  </si>
  <si>
    <t>200044.Value</t>
  </si>
  <si>
    <t>200045.Value</t>
  </si>
  <si>
    <t>Intranet</t>
  </si>
  <si>
    <t>Non (Partagée)</t>
  </si>
  <si>
    <t>Single Sign On (SSON) (à choisir pour une application Devbooster classique)</t>
  </si>
  <si>
    <t>Décisionnel</t>
  </si>
  <si>
    <t>Autorisation (AI / BI)</t>
  </si>
  <si>
    <t>Très élevé (impact partenaire et/ou presse)</t>
  </si>
  <si>
    <t>Oui (Dédiée - préciser le type d'installation)</t>
  </si>
  <si>
    <t>Vertica</t>
  </si>
  <si>
    <t>Authentification multifacteur (MFA)</t>
  </si>
  <si>
    <t>Client Web Internet / Mobile</t>
  </si>
  <si>
    <t>Datawarehouse / décisionnel</t>
  </si>
  <si>
    <t>Authentification BAD (Cybermut / Filbanque)</t>
  </si>
  <si>
    <t>Conso PCI (PA / PC)</t>
  </si>
  <si>
    <t>Authentification BAD ISD (BAD Light)</t>
  </si>
  <si>
    <t>Authentification Partenaires Externes (PEXTV2)</t>
  </si>
  <si>
    <t>ElasticSearch</t>
  </si>
  <si>
    <t>Paiement (exemple TPE; 3D Secure; etc...)</t>
  </si>
  <si>
    <t>Web-inclusion</t>
  </si>
  <si>
    <t>200046.Value</t>
  </si>
  <si>
    <t>Cloud V1</t>
  </si>
  <si>
    <t>Devbooster</t>
  </si>
  <si>
    <t>200047.Value</t>
  </si>
  <si>
    <t>Tshirt</t>
  </si>
  <si>
    <t>Thirt</t>
  </si>
  <si>
    <t>200048.Value</t>
  </si>
  <si>
    <t>200049.Value</t>
  </si>
  <si>
    <t>Répondant</t>
  </si>
  <si>
    <t>Id de la saisie</t>
  </si>
  <si>
    <t>200050.Value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</si>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</sst>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sz val="11"/>
      <name val="Calibri"/>
      <family val="2"/>
      <scheme val="minor"/>
    </font>
    <font>
      <sz val="11"/>
      <color rgb="FFFF0000"/>
      <name val="Calibri"/>
      <family val="2"/>
      <scheme val="minor"/>
    </font>
    <font>
      <sz val="11"/>
      <color rgb="FF000000"/>
      <name val="Calibri"/>
      <family val="2"/>
    </font>
    <font>
      <sz val="11"/>
      <color rgb="FF000000"/>
      <name val="Calibri"/>
      <family val="2"/>
      <scheme val="minor"/>
    </font>
    <font>
      <i/>
      <sz val="11"/>
      <name val="Calibri"/>
      <family val="2"/>
      <scheme val="minor"/>
    </font>
    <font>
      <b/>
      <sz val="11"/>
      <color theme="0"/>
      <name val="Calibri"/>
      <family val="2"/>
      <scheme val="minor"/>
    </font>
    <font>
      <i/>
      <sz val="11"/>
      <color theme="1"/>
      <name val="Calibri"/>
      <family val="2"/>
      <scheme val="minor"/>
    </font>
    <font>
      <sz val="11"/>
      <color rgb="FF1F497D"/>
      <name val="Calibri"/>
      <family val="2"/>
      <scheme val="minor"/>
    </font>
    <font>
      <i/>
      <sz val="11"/>
      <color rgb="FFFF0000"/>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rgb="FF00B05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EBF1DE"/>
        <bgColor indexed="64"/>
      </patternFill>
    </fill>
    <fill>
      <patternFill patternType="solid">
        <fgColor theme="1"/>
        <bgColor indexed="64"/>
      </patternFill>
    </fill>
    <fill>
      <patternFill patternType="solid">
        <fgColor theme="8" tint="0.79998168889431442"/>
        <bgColor indexed="64"/>
      </patternFill>
    </fill>
    <fill>
      <patternFill patternType="solid">
        <fgColor theme="2"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s>
  <cellStyleXfs count="1">
    <xf numFmtId="0" fontId="0" fillId="0" borderId="0"/>
  </cellStyleXfs>
  <cellXfs count="130">
    <xf numFmtId="0" fontId="0" fillId="0" borderId="0" xfId="0"/>
    <xf numFmtId="0" fontId="1" fillId="0" borderId="0" xfId="0" applyFont="1"/>
    <xf numFmtId="0" fontId="0" fillId="0" borderId="0" xfId="0" applyAlignment="1">
      <alignment vertical="top" wrapText="1"/>
    </xf>
    <xf numFmtId="0" fontId="0" fillId="0" borderId="0" xfId="0" applyFill="1"/>
    <xf numFmtId="0" fontId="0" fillId="0" borderId="0" xfId="0" applyFont="1"/>
    <xf numFmtId="0" fontId="0" fillId="0" borderId="2" xfId="0" applyBorder="1" applyAlignment="1">
      <alignment horizontal="center" vertical="center"/>
    </xf>
    <xf numFmtId="0" fontId="0" fillId="0" borderId="3" xfId="0" applyBorder="1" applyAlignment="1">
      <alignment horizontal="center" vertical="center"/>
    </xf>
    <xf numFmtId="0" fontId="0" fillId="0" borderId="0" xfId="0" applyAlignment="1">
      <alignment horizontal="center" vertical="center"/>
    </xf>
    <xf numFmtId="0" fontId="0" fillId="0" borderId="0" xfId="0" applyFill="1" applyAlignment="1">
      <alignment vertical="top" wrapText="1"/>
    </xf>
    <xf numFmtId="0" fontId="0" fillId="0" borderId="0" xfId="0" applyFont="1" applyFill="1"/>
    <xf numFmtId="0" fontId="1" fillId="0" borderId="1" xfId="0" applyFont="1" applyFill="1" applyBorder="1" applyAlignment="1">
      <alignment wrapText="1"/>
    </xf>
    <xf numFmtId="0" fontId="0" fillId="0" borderId="4" xfId="0" applyFont="1" applyFill="1" applyBorder="1" applyAlignment="1"/>
    <xf numFmtId="0" fontId="1" fillId="0" borderId="0" xfId="0" applyFont="1" applyFill="1" applyAlignment="1"/>
    <xf numFmtId="0" fontId="0" fillId="0" borderId="0" xfId="0" applyFont="1" applyFill="1" applyAlignment="1"/>
    <xf numFmtId="0" fontId="1" fillId="0" borderId="4" xfId="0" applyFont="1" applyFill="1" applyBorder="1" applyAlignment="1">
      <alignment horizontal="left" vertical="center"/>
    </xf>
    <xf numFmtId="0" fontId="1" fillId="0" borderId="0" xfId="0" applyFont="1" applyFill="1" applyAlignment="1">
      <alignment horizontal="left" vertical="center"/>
    </xf>
    <xf numFmtId="0" fontId="1" fillId="0" borderId="4" xfId="0" applyFont="1" applyBorder="1" applyAlignment="1">
      <alignment vertical="center"/>
    </xf>
    <xf numFmtId="0" fontId="1" fillId="3" borderId="1" xfId="0" applyFont="1" applyFill="1" applyBorder="1" applyAlignment="1">
      <alignment wrapText="1"/>
    </xf>
    <xf numFmtId="0" fontId="1" fillId="4" borderId="1" xfId="0" applyFont="1" applyFill="1" applyBorder="1" applyAlignment="1">
      <alignment wrapText="1"/>
    </xf>
    <xf numFmtId="0" fontId="1" fillId="0" borderId="1" xfId="0" applyFont="1" applyBorder="1" applyAlignment="1">
      <alignment wrapText="1"/>
    </xf>
    <xf numFmtId="0" fontId="0" fillId="6" borderId="5" xfId="0" applyFill="1" applyBorder="1" applyAlignment="1"/>
    <xf numFmtId="0" fontId="0" fillId="0" borderId="0" xfId="0" applyFont="1" applyFill="1" applyAlignment="1">
      <alignment horizontal="left" vertical="center"/>
    </xf>
    <xf numFmtId="0" fontId="0" fillId="4" borderId="1" xfId="0" applyFill="1" applyBorder="1" applyAlignment="1">
      <alignment wrapText="1"/>
    </xf>
    <xf numFmtId="0" fontId="0" fillId="4" borderId="5" xfId="0" applyFill="1" applyBorder="1" applyAlignment="1"/>
    <xf numFmtId="0" fontId="0" fillId="0" borderId="5" xfId="0" applyFill="1" applyBorder="1" applyAlignment="1"/>
    <xf numFmtId="0" fontId="1" fillId="0" borderId="0" xfId="0" applyFont="1" applyBorder="1" applyAlignment="1">
      <alignment vertical="center"/>
    </xf>
    <xf numFmtId="0" fontId="5" fillId="4" borderId="1" xfId="0" applyFont="1" applyFill="1" applyBorder="1" applyAlignment="1">
      <alignment wrapText="1"/>
    </xf>
    <xf numFmtId="0" fontId="0" fillId="0" borderId="0" xfId="0" applyFont="1" applyAlignment="1"/>
    <xf numFmtId="0" fontId="0" fillId="0" borderId="6" xfId="0" applyFont="1" applyFill="1" applyBorder="1"/>
    <xf numFmtId="0" fontId="0" fillId="0" borderId="6" xfId="0" applyFont="1" applyFill="1" applyBorder="1" applyAlignment="1"/>
    <xf numFmtId="0" fontId="1" fillId="0" borderId="0" xfId="0" applyFont="1" applyFill="1" applyBorder="1" applyAlignment="1">
      <alignment horizontal="left" vertical="center"/>
    </xf>
    <xf numFmtId="0" fontId="1" fillId="0" borderId="6" xfId="0" applyFont="1" applyFill="1" applyBorder="1" applyAlignment="1">
      <alignment horizontal="left" vertical="center"/>
    </xf>
    <xf numFmtId="0" fontId="2" fillId="0" borderId="0" xfId="0" applyFont="1" applyFill="1" applyAlignment="1">
      <alignment horizontal="left" vertical="center"/>
    </xf>
    <xf numFmtId="0" fontId="0" fillId="0" borderId="0" xfId="0" applyFont="1" applyFill="1" applyAlignment="1">
      <alignment vertical="center"/>
    </xf>
    <xf numFmtId="0" fontId="6" fillId="8" borderId="0" xfId="0" applyFont="1" applyFill="1" applyAlignment="1">
      <alignment horizontal="left" vertical="center"/>
    </xf>
    <xf numFmtId="0" fontId="0" fillId="0" borderId="6" xfId="0" applyFont="1" applyBorder="1"/>
    <xf numFmtId="0" fontId="0" fillId="5" borderId="5" xfId="0" applyFill="1" applyBorder="1" applyAlignment="1"/>
    <xf numFmtId="0" fontId="4" fillId="0" borderId="0" xfId="0" applyFont="1" applyAlignment="1">
      <alignment vertical="center"/>
    </xf>
    <xf numFmtId="0" fontId="1" fillId="0" borderId="0" xfId="0" applyFont="1" applyAlignment="1">
      <alignment vertical="center"/>
    </xf>
    <xf numFmtId="0" fontId="0" fillId="0" borderId="0" xfId="0" applyFont="1" applyFill="1" applyBorder="1" applyAlignment="1">
      <alignment horizontal="left" vertical="center"/>
    </xf>
    <xf numFmtId="0" fontId="1" fillId="0" borderId="0" xfId="0" applyFont="1" applyFill="1" applyBorder="1"/>
    <xf numFmtId="0" fontId="1" fillId="0" borderId="0" xfId="0" applyFont="1" applyBorder="1" applyAlignment="1"/>
    <xf numFmtId="9" fontId="1" fillId="0" borderId="0" xfId="0" quotePrefix="1" applyNumberFormat="1" applyFont="1" applyFill="1" applyBorder="1"/>
    <xf numFmtId="0" fontId="6" fillId="8" borderId="0" xfId="0" applyFont="1" applyFill="1" applyBorder="1" applyAlignment="1">
      <alignment horizontal="left" vertical="center"/>
    </xf>
    <xf numFmtId="0" fontId="0" fillId="0" borderId="0" xfId="0" applyFont="1" applyFill="1" applyBorder="1" applyAlignment="1"/>
    <xf numFmtId="2" fontId="0" fillId="0" borderId="0" xfId="0" applyNumberFormat="1" applyFont="1" applyAlignment="1"/>
    <xf numFmtId="0" fontId="0" fillId="2" borderId="0" xfId="0" applyFont="1" applyFill="1"/>
    <xf numFmtId="2" fontId="0" fillId="0" borderId="0" xfId="0" applyNumberFormat="1" applyFont="1"/>
    <xf numFmtId="0" fontId="1" fillId="0" borderId="6" xfId="0" applyFont="1" applyFill="1" applyBorder="1" applyAlignment="1"/>
    <xf numFmtId="0" fontId="0" fillId="0" borderId="0" xfId="0" applyFont="1" applyFill="1" applyBorder="1"/>
    <xf numFmtId="0" fontId="1" fillId="0" borderId="0" xfId="0" applyFont="1" applyFill="1" applyBorder="1" applyAlignment="1"/>
    <xf numFmtId="0" fontId="1" fillId="0" borderId="0" xfId="0" applyFont="1" applyFill="1" applyBorder="1" applyAlignment="1">
      <alignment vertical="center"/>
    </xf>
    <xf numFmtId="0" fontId="0" fillId="0" borderId="0" xfId="0" applyFont="1" applyAlignment="1">
      <alignment vertical="center"/>
    </xf>
    <xf numFmtId="0" fontId="0" fillId="0" borderId="6" xfId="0" applyFont="1" applyFill="1" applyBorder="1" applyAlignment="1">
      <alignment horizontal="left" vertical="center"/>
    </xf>
    <xf numFmtId="10" fontId="0" fillId="0" borderId="0" xfId="0" applyNumberFormat="1" applyFont="1" applyFill="1" applyAlignment="1"/>
    <xf numFmtId="0" fontId="0" fillId="0" borderId="0" xfId="0" applyFont="1" applyBorder="1" applyAlignment="1"/>
    <xf numFmtId="2" fontId="0" fillId="0" borderId="0" xfId="0" applyNumberFormat="1" applyFont="1" applyBorder="1" applyAlignment="1"/>
    <xf numFmtId="0" fontId="0" fillId="0" borderId="0" xfId="0" applyFont="1" applyBorder="1"/>
    <xf numFmtId="0" fontId="1" fillId="0" borderId="0" xfId="0" applyFont="1" applyBorder="1"/>
    <xf numFmtId="0" fontId="2" fillId="0" borderId="0" xfId="0" applyFont="1" applyBorder="1"/>
    <xf numFmtId="20" fontId="1" fillId="0" borderId="0" xfId="0" applyNumberFormat="1" applyFont="1" applyFill="1" applyBorder="1" applyAlignment="1"/>
    <xf numFmtId="0" fontId="2" fillId="0" borderId="0" xfId="0" applyFont="1" applyBorder="1" applyAlignment="1"/>
    <xf numFmtId="0" fontId="8" fillId="0" borderId="0" xfId="0" applyFont="1" applyAlignment="1">
      <alignment vertical="center"/>
    </xf>
    <xf numFmtId="0" fontId="0" fillId="0" borderId="6" xfId="0" applyFont="1" applyBorder="1" applyAlignment="1">
      <alignment horizontal="left" vertical="center"/>
    </xf>
    <xf numFmtId="0" fontId="0" fillId="0" borderId="1" xfId="0" applyFill="1" applyBorder="1"/>
    <xf numFmtId="0" fontId="0" fillId="10" borderId="0" xfId="0" applyFill="1" applyBorder="1" applyAlignment="1"/>
    <xf numFmtId="1" fontId="0" fillId="0" borderId="1" xfId="0" applyNumberFormat="1" applyBorder="1" applyAlignment="1"/>
    <xf numFmtId="0" fontId="0" fillId="0" borderId="1" xfId="0" applyBorder="1"/>
    <xf numFmtId="0" fontId="1" fillId="0" borderId="0" xfId="0" applyFont="1" applyAlignment="1"/>
    <xf numFmtId="0" fontId="2" fillId="0" borderId="0" xfId="0" applyFont="1" applyFill="1" applyBorder="1"/>
    <xf numFmtId="0" fontId="1" fillId="0" borderId="1" xfId="0" applyFont="1" applyFill="1" applyBorder="1" applyAlignment="1">
      <alignment horizontal="left" vertical="center"/>
    </xf>
    <xf numFmtId="0" fontId="2" fillId="0" borderId="0" xfId="0" applyFont="1"/>
    <xf numFmtId="0" fontId="2" fillId="0" borderId="0" xfId="0" applyFont="1" applyFill="1"/>
    <xf numFmtId="0" fontId="2" fillId="0" borderId="0" xfId="0" applyFont="1" applyFill="1" applyAlignment="1"/>
    <xf numFmtId="0" fontId="2" fillId="0" borderId="0" xfId="0" applyFont="1" applyFill="1" applyBorder="1" applyAlignment="1">
      <alignment horizontal="left" vertical="center"/>
    </xf>
    <xf numFmtId="0" fontId="2" fillId="0" borderId="6" xfId="0" applyFont="1" applyFill="1" applyBorder="1" applyAlignment="1"/>
    <xf numFmtId="0" fontId="2" fillId="0" borderId="0" xfId="0" applyFont="1" applyFill="1" applyBorder="1" applyAlignment="1"/>
    <xf numFmtId="0" fontId="1" fillId="0" borderId="4" xfId="0" applyFont="1" applyFill="1" applyBorder="1" applyAlignment="1"/>
    <xf numFmtId="0" fontId="0" fillId="0" borderId="1" xfId="0" applyBorder="1" applyAlignment="1">
      <alignment vertical="top"/>
    </xf>
    <xf numFmtId="1" fontId="2" fillId="0" borderId="0" xfId="0" applyNumberFormat="1" applyFont="1"/>
    <xf numFmtId="1" fontId="2" fillId="0" borderId="0" xfId="0" applyNumberFormat="1" applyFont="1" applyAlignment="1">
      <alignment vertical="top" wrapText="1"/>
    </xf>
    <xf numFmtId="1" fontId="2" fillId="0" borderId="0" xfId="0" applyNumberFormat="1" applyFont="1" applyFill="1" applyAlignment="1"/>
    <xf numFmtId="1" fontId="2" fillId="0" borderId="0" xfId="0" applyNumberFormat="1" applyFont="1" applyFill="1"/>
    <xf numFmtId="1" fontId="2" fillId="4" borderId="5" xfId="0" applyNumberFormat="1" applyFont="1" applyFill="1" applyBorder="1" applyAlignment="1"/>
    <xf numFmtId="1" fontId="9" fillId="4" borderId="1" xfId="0" applyNumberFormat="1" applyFont="1" applyFill="1" applyBorder="1" applyAlignment="1">
      <alignment wrapText="1"/>
    </xf>
    <xf numFmtId="1" fontId="2" fillId="0" borderId="0" xfId="0" applyNumberFormat="1" applyFont="1" applyBorder="1" applyAlignment="1">
      <alignment vertical="center"/>
    </xf>
    <xf numFmtId="1" fontId="2" fillId="4" borderId="0" xfId="0" applyNumberFormat="1" applyFont="1" applyFill="1" applyBorder="1" applyAlignment="1"/>
    <xf numFmtId="1" fontId="9" fillId="4" borderId="1" xfId="0" applyNumberFormat="1" applyFont="1" applyFill="1" applyBorder="1" applyAlignment="1"/>
    <xf numFmtId="0" fontId="0" fillId="2" borderId="0" xfId="0" applyFill="1"/>
    <xf numFmtId="0" fontId="2" fillId="0" borderId="0" xfId="0" applyFont="1" applyFill="1" applyAlignment="1">
      <alignment vertical="top" wrapText="1"/>
    </xf>
    <xf numFmtId="0" fontId="2" fillId="4" borderId="1" xfId="0" applyFont="1" applyFill="1" applyBorder="1" applyAlignment="1">
      <alignment wrapText="1"/>
    </xf>
    <xf numFmtId="1" fontId="0" fillId="0" borderId="0" xfId="0" applyNumberFormat="1" applyAlignment="1">
      <alignment horizontal="right"/>
    </xf>
    <xf numFmtId="1" fontId="0" fillId="0" borderId="0" xfId="0" applyNumberFormat="1" applyAlignment="1">
      <alignment horizontal="right" vertical="top" wrapText="1"/>
    </xf>
    <xf numFmtId="1" fontId="0" fillId="0" borderId="0" xfId="0" applyNumberFormat="1" applyFill="1" applyAlignment="1">
      <alignment horizontal="right"/>
    </xf>
    <xf numFmtId="1" fontId="7" fillId="4" borderId="1" xfId="0" applyNumberFormat="1" applyFont="1" applyFill="1" applyBorder="1" applyAlignment="1">
      <alignment horizontal="right"/>
    </xf>
    <xf numFmtId="0" fontId="0" fillId="0" borderId="0" xfId="0" applyAlignment="1">
      <alignment horizontal="right"/>
    </xf>
    <xf numFmtId="0" fontId="0" fillId="0" borderId="0" xfId="0" applyAlignment="1">
      <alignment horizontal="right" vertical="top" wrapText="1"/>
    </xf>
    <xf numFmtId="0" fontId="0" fillId="0" borderId="0" xfId="0" applyFill="1" applyAlignment="1">
      <alignment horizontal="right"/>
    </xf>
    <xf numFmtId="0" fontId="0" fillId="10" borderId="0" xfId="0" applyFill="1" applyBorder="1" applyAlignment="1">
      <alignment horizontal="right"/>
    </xf>
    <xf numFmtId="0" fontId="0" fillId="4" borderId="1" xfId="0" applyFill="1" applyBorder="1" applyAlignment="1">
      <alignment horizontal="right"/>
    </xf>
    <xf numFmtId="1" fontId="0" fillId="0" borderId="0" xfId="0" applyNumberFormat="1"/>
    <xf numFmtId="1" fontId="0" fillId="0" borderId="0" xfId="0" applyNumberFormat="1" applyAlignment="1">
      <alignment vertical="top" wrapText="1"/>
    </xf>
    <xf numFmtId="1" fontId="0" fillId="0" borderId="0" xfId="0" applyNumberFormat="1" applyFill="1"/>
    <xf numFmtId="1" fontId="0" fillId="10" borderId="0" xfId="0" applyNumberFormat="1" applyFill="1" applyBorder="1" applyAlignment="1"/>
    <xf numFmtId="1" fontId="0" fillId="4" borderId="1" xfId="0" applyNumberFormat="1" applyFill="1" applyBorder="1"/>
    <xf numFmtId="2" fontId="0" fillId="0" borderId="0" xfId="0" applyNumberFormat="1"/>
    <xf numFmtId="2" fontId="0" fillId="0" borderId="0" xfId="0" applyNumberFormat="1" applyAlignment="1">
      <alignment vertical="top" wrapText="1"/>
    </xf>
    <xf numFmtId="2" fontId="0" fillId="0" borderId="0" xfId="0" applyNumberFormat="1" applyFill="1"/>
    <xf numFmtId="2" fontId="0" fillId="10" borderId="0" xfId="0" applyNumberFormat="1" applyFill="1" applyBorder="1" applyAlignment="1"/>
    <xf numFmtId="2" fontId="0" fillId="4" borderId="1" xfId="0" applyNumberFormat="1" applyFill="1" applyBorder="1"/>
    <xf numFmtId="0" fontId="0" fillId="0" borderId="0" xfId="0"/>
    <xf numFmtId="0" fontId="0" fillId="0" borderId="0" xfId="0" applyNumberFormat="1"/>
    <xf numFmtId="0" fontId="0" fillId="0" borderId="1" xfId="0" applyBorder="1"/>
    <xf numFmtId="0" fontId="0" fillId="2" borderId="1" xfId="0" applyFill="1" applyBorder="1"/>
    <xf numFmtId="1" fontId="2" fillId="0" borderId="0" xfId="0" applyNumberFormat="1" applyFont="1" applyAlignment="1">
      <alignment horizontal="right"/>
    </xf>
    <xf numFmtId="1" fontId="2" fillId="0" borderId="0" xfId="0" applyNumberFormat="1" applyFont="1" applyAlignment="1">
      <alignment horizontal="right" vertical="top" wrapText="1"/>
    </xf>
    <xf numFmtId="1" fontId="2" fillId="0" borderId="0" xfId="0" applyNumberFormat="1" applyFont="1" applyFill="1" applyAlignment="1">
      <alignment horizontal="right"/>
    </xf>
    <xf numFmtId="1" fontId="2" fillId="4" borderId="0" xfId="0" applyNumberFormat="1" applyFont="1" applyFill="1" applyBorder="1" applyAlignment="1">
      <alignment horizontal="right"/>
    </xf>
    <xf numFmtId="1" fontId="9" fillId="4" borderId="1" xfId="0" applyNumberFormat="1" applyFont="1" applyFill="1" applyBorder="1" applyAlignment="1">
      <alignment horizontal="right"/>
    </xf>
    <xf numFmtId="0" fontId="0" fillId="0" borderId="0" xfId="0" applyNumberFormat="1" applyAlignment="1">
      <alignment vertical="top" wrapText="1"/>
    </xf>
    <xf numFmtId="0" fontId="1" fillId="0" borderId="0" xfId="0" applyNumberFormat="1" applyFont="1" applyFill="1" applyAlignment="1">
      <alignment horizontal="left" vertical="center"/>
    </xf>
    <xf numFmtId="0" fontId="0" fillId="0" borderId="0" xfId="0" applyNumberFormat="1" applyFill="1"/>
    <xf numFmtId="0" fontId="0" fillId="9" borderId="5" xfId="0" applyNumberFormat="1" applyFill="1" applyBorder="1" applyAlignment="1"/>
    <xf numFmtId="0" fontId="1" fillId="4" borderId="1" xfId="0" applyNumberFormat="1" applyFont="1" applyFill="1" applyBorder="1" applyAlignment="1">
      <alignment wrapText="1"/>
    </xf>
    <xf numFmtId="0" fontId="1" fillId="2" borderId="0" xfId="0" applyFont="1" applyFill="1" applyBorder="1" applyAlignment="1">
      <alignment horizontal="left" vertical="center"/>
    </xf>
    <xf numFmtId="0" fontId="0" fillId="2" borderId="0" xfId="0" applyFont="1" applyFill="1" applyAlignment="1"/>
    <xf numFmtId="0" fontId="1" fillId="2" borderId="0" xfId="0" applyFont="1" applyFill="1" applyBorder="1"/>
    <xf numFmtId="0" fontId="0" fillId="4" borderId="1" xfId="0" applyFont="1" applyFill="1" applyBorder="1"/>
    <xf numFmtId="0" fontId="0" fillId="7" borderId="5" xfId="0" applyFill="1" applyBorder="1" applyAlignment="1">
      <alignment horizontal="center"/>
    </xf>
    <xf numFmtId="0" fontId="0" fillId="5" borderId="5" xfId="0" applyFill="1" applyBorder="1" applyAlignment="1">
      <alignment horizontal="center"/>
    </xf>
  </cellXfs>
  <cellStyles count="1">
    <cellStyle name="Normal" xfId="0" builtinId="0"/>
  </cellStyles>
  <dxfs count="0"/>
  <tableStyles count="0" defaultTableStyle="TableStyleMedium2" defaultPivotStyle="PivotStyleLight16"/>
  <colors>
    <mruColors>
      <color rgb="FFEBF1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38"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0</xdr:row>
          <xdr:rowOff>83820</xdr:rowOff>
        </xdr:from>
        <xdr:to>
          <xdr:col>1</xdr:col>
          <xdr:colOff>1516380</xdr:colOff>
          <xdr:row>0</xdr:row>
          <xdr:rowOff>312420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Execute Rules</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DD8"/>
  <sheetViews>
    <sheetView zoomScale="95" zoomScaleNormal="95" workbookViewId="0">
      <pane xSplit="2" ySplit="8" topLeftCell="C9" activePane="bottomRight" state="frozen"/>
      <selection pane="topRight" activeCell="C1" sqref="C1"/>
      <selection pane="bottomLeft" activeCell="A9" sqref="A9"/>
      <selection pane="bottomRight" activeCell="C9" sqref="C9"/>
    </sheetView>
  </sheetViews>
  <sheetFormatPr baseColWidth="10" defaultColWidth="9.109375" defaultRowHeight="14.4" x14ac:dyDescent="0.3"/>
  <cols>
    <col min="1" max="1" width="10.6640625" customWidth="1" collapsed="1"/>
    <col min="2" max="2" width="25.6640625" customWidth="1" collapsed="1"/>
    <col min="3" max="3" width="38.5546875" customWidth="1" collapsed="1"/>
    <col min="4" max="5" width="21" customWidth="1" collapsed="1"/>
    <col min="6" max="6" width="27.88671875" customWidth="1" collapsed="1"/>
    <col min="7" max="7" width="32.33203125" customWidth="1" collapsed="1"/>
    <col min="8" max="8" width="20" customWidth="1" collapsed="1"/>
    <col min="9" max="9" width="25" hidden="1" customWidth="1" collapsed="1"/>
    <col min="10" max="10" width="18" hidden="1" customWidth="1" collapsed="1"/>
    <col min="11" max="11" width="20.5546875" hidden="1" customWidth="1" collapsed="1"/>
    <col min="12" max="12" width="26.6640625" hidden="1" customWidth="1" collapsed="1"/>
    <col min="13" max="13" width="25.33203125" hidden="1" customWidth="1" collapsed="1"/>
    <col min="14" max="14" width="26.5546875" hidden="1" customWidth="1" collapsed="1"/>
    <col min="15" max="15" width="29.6640625" hidden="1" customWidth="1" collapsed="1"/>
    <col min="16" max="16" width="48.44140625" hidden="1" customWidth="1" collapsed="1"/>
    <col min="17" max="17" width="55.109375" hidden="1" customWidth="1" collapsed="1"/>
    <col min="18" max="18" width="28.33203125" hidden="1" customWidth="1" collapsed="1"/>
    <col min="19" max="19" width="28.109375" hidden="1" customWidth="1" collapsed="1"/>
    <col min="20" max="21" width="28.6640625" hidden="1" customWidth="1" collapsed="1"/>
    <col min="22" max="22" width="22.109375" customWidth="1" collapsed="1"/>
    <col min="23" max="23" width="22.109375" hidden="1" customWidth="1" collapsed="1"/>
    <col min="24" max="24" width="15.5546875" customWidth="1" collapsed="1"/>
    <col min="25" max="25" width="21.5546875" hidden="1" customWidth="1" collapsed="1"/>
    <col min="26" max="26" width="24.44140625" customWidth="1" collapsed="1"/>
    <col min="27" max="27" width="28.5546875" hidden="1" customWidth="1" collapsed="1"/>
    <col min="28" max="28" width="28.33203125" hidden="1" customWidth="1" collapsed="1"/>
    <col min="29" max="29" width="24.6640625" customWidth="1" collapsed="1"/>
    <col min="30" max="30" width="20.109375" hidden="1" customWidth="1" collapsed="1"/>
    <col min="31" max="31" width="33.6640625" hidden="1" customWidth="1" collapsed="1"/>
    <col min="32" max="32" width="15.44140625" hidden="1" customWidth="1" collapsed="1"/>
    <col min="33" max="33" width="18.6640625" hidden="1" customWidth="1" collapsed="1"/>
    <col min="34" max="34" width="16.33203125" hidden="1" customWidth="1" collapsed="1"/>
    <col min="35" max="35" width="23.44140625" hidden="1" customWidth="1" collapsed="1"/>
    <col min="36" max="36" width="24.109375" customWidth="1" collapsed="1"/>
    <col min="37" max="37" width="30.6640625" customWidth="1" collapsed="1"/>
    <col min="38" max="38" width="23.88671875" customWidth="1" collapsed="1"/>
    <col min="39" max="39" width="16.88671875" hidden="1" customWidth="1" collapsed="1"/>
    <col min="40" max="40" width="18" hidden="1" customWidth="1" collapsed="1"/>
    <col min="41" max="41" width="18.6640625" hidden="1" customWidth="1" collapsed="1"/>
    <col min="42" max="42" width="14" hidden="1" customWidth="1" collapsed="1"/>
    <col min="43" max="43" width="19" hidden="1" customWidth="1" collapsed="1"/>
    <col min="44" max="44" width="19.33203125" hidden="1" customWidth="1" collapsed="1"/>
    <col min="45" max="45" width="13.88671875" hidden="1" customWidth="1" collapsed="1"/>
    <col min="46" max="46" width="18.5546875" style="71" customWidth="1" collapsed="1"/>
    <col min="47" max="47" width="25.33203125" hidden="1" customWidth="1" collapsed="1"/>
    <col min="48" max="48" width="37.109375" hidden="1" customWidth="1" collapsed="1"/>
    <col min="49" max="49" width="37.5546875" hidden="1" customWidth="1" collapsed="1"/>
    <col min="50" max="50" width="34" hidden="1" customWidth="1" collapsed="1"/>
    <col min="51" max="51" width="29.88671875" hidden="1" customWidth="1" collapsed="1"/>
    <col min="52" max="52" width="17.109375" hidden="1" customWidth="1" collapsed="1"/>
    <col min="53" max="53" width="17.109375" customWidth="1" collapsed="1"/>
    <col min="54" max="54" width="31.44140625" customWidth="1" collapsed="1"/>
    <col min="55" max="55" width="39.5546875" customWidth="1" collapsed="1"/>
    <col min="56" max="56" width="30" hidden="1" customWidth="1" collapsed="1"/>
    <col min="57" max="57" width="20.6640625" hidden="1" customWidth="1" collapsed="1"/>
    <col min="58" max="60" width="20.6640625" customWidth="1" collapsed="1"/>
    <col min="61" max="61" width="18.33203125" customWidth="1" collapsed="1"/>
    <col min="62" max="62" width="22" customWidth="1" collapsed="1"/>
    <col min="63" max="63" width="37.44140625" customWidth="1" collapsed="1"/>
    <col min="64" max="64" width="13.5546875" customWidth="1" collapsed="1"/>
    <col min="65" max="65" width="26.6640625" customWidth="1" collapsed="1"/>
    <col min="66" max="66" width="20.6640625" customWidth="1" collapsed="1"/>
    <col min="67" max="67" width="17.6640625" customWidth="1" collapsed="1"/>
    <col min="68" max="68" width="16.5546875" customWidth="1" collapsed="1"/>
    <col min="69" max="71" width="9.109375" customWidth="1" collapsed="1"/>
    <col min="72" max="72" width="16.6640625" style="79" customWidth="1" collapsed="1"/>
    <col min="73" max="73" width="12.44140625" customWidth="1" collapsed="1"/>
    <col min="74" max="74" width="59.6640625" customWidth="1" collapsed="1"/>
    <col min="75" max="75" width="20.6640625" customWidth="1" collapsed="1"/>
    <col min="76" max="76" width="22.44140625" customWidth="1" collapsed="1"/>
    <col min="77" max="77" width="9.109375" customWidth="1" collapsed="1"/>
    <col min="78" max="78" width="12.44140625" customWidth="1" collapsed="1"/>
    <col min="79" max="79" width="19.88671875" style="111" customWidth="1" collapsed="1"/>
    <col min="80" max="80" width="48.5546875" customWidth="1" collapsed="1"/>
    <col min="81" max="81" width="24.33203125" customWidth="1" collapsed="1"/>
    <col min="82" max="83" width="29.6640625" customWidth="1" collapsed="1"/>
    <col min="84" max="84" width="115.109375" customWidth="1" collapsed="1"/>
    <col min="85" max="86" width="20.6640625" customWidth="1" collapsed="1"/>
    <col min="87" max="87" width="21.33203125" style="79" customWidth="1" collapsed="1"/>
    <col min="88" max="88" width="19.5546875" style="91" customWidth="1" collapsed="1"/>
    <col min="89" max="89" width="13.6640625" style="114" customWidth="1" collapsed="1"/>
    <col min="90" max="90" width="13.6640625" style="105" customWidth="1" collapsed="1"/>
    <col min="91" max="91" width="31" style="95" bestFit="1" customWidth="1" collapsed="1"/>
    <col min="92" max="92" width="18" style="100" bestFit="1" customWidth="1" collapsed="1"/>
    <col min="93" max="93" width="14.6640625" style="100" bestFit="1" customWidth="1" collapsed="1"/>
    <col min="94" max="94" width="16.88671875" style="100" bestFit="1" customWidth="1" collapsed="1"/>
    <col min="95" max="95" width="14.88671875" style="100" bestFit="1" customWidth="1" collapsed="1"/>
    <col min="96" max="96" width="11.44140625" customWidth="1" collapsed="1"/>
    <col min="97" max="97" width="21.5546875" bestFit="1" customWidth="1" collapsed="1"/>
    <col min="104" max="104" width="14.33203125" bestFit="1" customWidth="1" collapsed="1"/>
  </cols>
  <sheetData>
    <row r="1" spans="1:108" ht="29.25" customHeight="1" thickBot="1" x14ac:dyDescent="0.35">
      <c r="A1" s="5" t="s">
        <v>0</v>
      </c>
      <c r="B1" s="6"/>
      <c r="C1" s="7"/>
    </row>
    <row r="3" spans="1:108" x14ac:dyDescent="0.3">
      <c r="A3" t="s">
        <v>1</v>
      </c>
      <c r="B3" t="s">
        <v>1345</v>
      </c>
      <c r="C3" t="s">
        <v>3</v>
      </c>
      <c r="D3" t="s">
        <v>4</v>
      </c>
      <c r="E3" t="s">
        <v>1616</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1358</v>
      </c>
      <c r="X3" t="s">
        <v>22</v>
      </c>
      <c r="Y3" t="s">
        <v>1356</v>
      </c>
      <c r="Z3" t="s">
        <v>23</v>
      </c>
      <c r="AA3" t="s">
        <v>24</v>
      </c>
      <c r="AB3" t="s">
        <v>25</v>
      </c>
      <c r="AC3" t="s">
        <v>26</v>
      </c>
      <c r="AD3" t="s">
        <v>27</v>
      </c>
      <c r="AE3" t="s">
        <v>28</v>
      </c>
      <c r="AF3" t="s">
        <v>29</v>
      </c>
      <c r="AG3" t="s">
        <v>30</v>
      </c>
      <c r="AH3" t="s">
        <v>31</v>
      </c>
      <c r="AI3" t="s">
        <v>32</v>
      </c>
      <c r="AJ3" t="s">
        <v>33</v>
      </c>
      <c r="AK3" t="s">
        <v>34</v>
      </c>
      <c r="AL3" t="s">
        <v>35</v>
      </c>
      <c r="AM3" t="s">
        <v>1326</v>
      </c>
      <c r="AN3" t="s">
        <v>1327</v>
      </c>
      <c r="AO3" t="s">
        <v>1328</v>
      </c>
      <c r="AP3" t="s">
        <v>1329</v>
      </c>
      <c r="AQ3" t="s">
        <v>1331</v>
      </c>
      <c r="AR3" t="s">
        <v>1332</v>
      </c>
      <c r="AS3" t="s">
        <v>1334</v>
      </c>
      <c r="AT3" s="71" t="s">
        <v>1333</v>
      </c>
      <c r="AU3" t="s">
        <v>1335</v>
      </c>
      <c r="AV3" t="s">
        <v>1338</v>
      </c>
      <c r="AW3" t="s">
        <v>1337</v>
      </c>
      <c r="AX3" t="s">
        <v>1336</v>
      </c>
      <c r="AY3" t="s">
        <v>1343</v>
      </c>
      <c r="AZ3" t="s">
        <v>1340</v>
      </c>
      <c r="BA3" t="s">
        <v>1341</v>
      </c>
      <c r="BB3" t="s">
        <v>1342</v>
      </c>
      <c r="BC3" t="s">
        <v>1344</v>
      </c>
      <c r="BD3" t="s">
        <v>1344</v>
      </c>
      <c r="BE3" t="s">
        <v>1344</v>
      </c>
      <c r="BF3" t="s">
        <v>1646</v>
      </c>
      <c r="BG3" t="s">
        <v>1647</v>
      </c>
      <c r="BH3" t="s">
        <v>1648</v>
      </c>
      <c r="BI3" t="s">
        <v>1401</v>
      </c>
      <c r="BJ3" t="s">
        <v>1402</v>
      </c>
      <c r="BK3" t="s">
        <v>1403</v>
      </c>
      <c r="BL3" t="s">
        <v>1426</v>
      </c>
      <c r="BM3" t="s">
        <v>1428</v>
      </c>
      <c r="BN3" t="s">
        <v>1404</v>
      </c>
      <c r="BO3" t="s">
        <v>1405</v>
      </c>
      <c r="BP3" t="s">
        <v>1406</v>
      </c>
      <c r="BQ3" t="s">
        <v>1407</v>
      </c>
      <c r="BR3" t="s">
        <v>1408</v>
      </c>
      <c r="BS3" t="s">
        <v>1409</v>
      </c>
      <c r="BT3" s="79" t="s">
        <v>1410</v>
      </c>
      <c r="BU3" t="s">
        <v>1411</v>
      </c>
      <c r="BV3" t="s">
        <v>1412</v>
      </c>
      <c r="BW3" t="s">
        <v>1413</v>
      </c>
      <c r="BX3" t="s">
        <v>1414</v>
      </c>
      <c r="BY3" t="s">
        <v>1415</v>
      </c>
      <c r="BZ3" t="s">
        <v>1416</v>
      </c>
      <c r="CA3" s="111" t="s">
        <v>1418</v>
      </c>
      <c r="CB3" t="s">
        <v>1419</v>
      </c>
      <c r="CC3" t="s">
        <v>1420</v>
      </c>
      <c r="CD3" t="s">
        <v>1421</v>
      </c>
      <c r="CE3" t="s">
        <v>1542</v>
      </c>
      <c r="CF3" t="s">
        <v>1422</v>
      </c>
      <c r="CG3" t="s">
        <v>1429</v>
      </c>
      <c r="CH3" t="s">
        <v>1554</v>
      </c>
      <c r="CI3" s="79" t="s">
        <v>1434</v>
      </c>
      <c r="CJ3" s="91" t="s">
        <v>1435</v>
      </c>
      <c r="CK3" s="114" t="s">
        <v>1436</v>
      </c>
      <c r="CL3" s="105" t="s">
        <v>1595</v>
      </c>
      <c r="CM3" s="95" t="s">
        <v>1611</v>
      </c>
      <c r="CN3" s="100" t="s">
        <v>1612</v>
      </c>
      <c r="CO3" s="100" t="s">
        <v>1613</v>
      </c>
      <c r="CP3" s="100" t="s">
        <v>1614</v>
      </c>
      <c r="CQ3" s="100" t="s">
        <v>1615</v>
      </c>
      <c r="CR3" s="110" t="s">
        <v>1666</v>
      </c>
      <c r="CS3" s="110" t="s">
        <v>1667</v>
      </c>
      <c r="CT3" s="110" t="s">
        <v>1669</v>
      </c>
      <c r="CU3" s="110" t="s">
        <v>1670</v>
      </c>
      <c r="CV3" s="110" t="s">
        <v>1671</v>
      </c>
      <c r="CW3" s="110" t="s">
        <v>1676</v>
      </c>
      <c r="CX3" s="110" t="s">
        <v>1677</v>
      </c>
      <c r="CY3" s="110" t="s">
        <v>1696</v>
      </c>
      <c r="CZ3" s="110" t="s">
        <v>1699</v>
      </c>
      <c r="DA3" s="110" t="s">
        <v>1702</v>
      </c>
      <c r="DB3" s="110" t="s">
        <v>1703</v>
      </c>
      <c r="DC3" s="110" t="s">
        <v>1706</v>
      </c>
      <c r="DD3" s="110" t="s">
        <v>1706</v>
      </c>
    </row>
    <row r="4" spans="1:108" s="2" customFormat="1" ht="13.95" customHeight="1" x14ac:dyDescent="0.3">
      <c r="A4" s="8" t="s">
        <v>36</v>
      </c>
      <c r="B4" s="8" t="s">
        <v>37</v>
      </c>
      <c r="C4" s="8" t="s">
        <v>38</v>
      </c>
      <c r="D4" s="8" t="s">
        <v>39</v>
      </c>
      <c r="E4" s="8" t="s">
        <v>1653</v>
      </c>
      <c r="F4" s="8" t="s">
        <v>40</v>
      </c>
      <c r="G4" s="8" t="s">
        <v>41</v>
      </c>
      <c r="H4" s="8" t="s">
        <v>42</v>
      </c>
      <c r="I4" s="8" t="s">
        <v>43</v>
      </c>
      <c r="J4" s="8" t="s">
        <v>44</v>
      </c>
      <c r="K4" s="8" t="s">
        <v>45</v>
      </c>
      <c r="L4" s="8" t="s">
        <v>46</v>
      </c>
      <c r="M4" s="8" t="s">
        <v>47</v>
      </c>
      <c r="N4" s="8" t="s">
        <v>48</v>
      </c>
      <c r="O4" s="8" t="s">
        <v>49</v>
      </c>
      <c r="P4" s="8" t="s">
        <v>50</v>
      </c>
      <c r="Q4" s="8" t="s">
        <v>51</v>
      </c>
      <c r="R4" s="8" t="s">
        <v>52</v>
      </c>
      <c r="S4" s="8" t="s">
        <v>53</v>
      </c>
      <c r="T4" s="8" t="s">
        <v>54</v>
      </c>
      <c r="U4" s="8" t="s">
        <v>55</v>
      </c>
      <c r="V4" s="8" t="s">
        <v>56</v>
      </c>
      <c r="W4" s="8" t="s">
        <v>618</v>
      </c>
      <c r="X4" s="8" t="s">
        <v>57</v>
      </c>
      <c r="Y4" s="8" t="s">
        <v>1357</v>
      </c>
      <c r="Z4" s="8" t="s">
        <v>58</v>
      </c>
      <c r="AA4" s="8" t="s">
        <v>59</v>
      </c>
      <c r="AB4" s="8" t="s">
        <v>60</v>
      </c>
      <c r="AC4" s="8" t="s">
        <v>61</v>
      </c>
      <c r="AD4" s="8" t="s">
        <v>62</v>
      </c>
      <c r="AE4" s="8" t="s">
        <v>63</v>
      </c>
      <c r="AF4" s="8" t="s">
        <v>64</v>
      </c>
      <c r="AG4" s="8" t="s">
        <v>65</v>
      </c>
      <c r="AH4" s="8" t="s">
        <v>66</v>
      </c>
      <c r="AI4" s="8" t="s">
        <v>67</v>
      </c>
      <c r="AJ4" s="8" t="s">
        <v>68</v>
      </c>
      <c r="AK4" s="8" t="s">
        <v>69</v>
      </c>
      <c r="AL4" s="8" t="s">
        <v>70</v>
      </c>
      <c r="AM4" s="8"/>
      <c r="AN4" s="8"/>
      <c r="AO4" s="8"/>
      <c r="AP4" s="8"/>
      <c r="AQ4" s="8"/>
      <c r="AR4" s="8"/>
      <c r="AS4" s="8"/>
      <c r="AT4" s="89"/>
      <c r="AU4" s="8"/>
      <c r="AV4" s="8"/>
      <c r="AW4" s="8"/>
      <c r="AX4" s="8"/>
      <c r="AY4" s="8"/>
      <c r="AZ4" s="8"/>
      <c r="BA4" s="8"/>
      <c r="BB4" s="8"/>
      <c r="BC4" s="8"/>
      <c r="BD4" s="8"/>
      <c r="BE4" s="8"/>
      <c r="BF4" s="8"/>
      <c r="BG4" s="8"/>
      <c r="BH4" s="8"/>
      <c r="BI4" s="8"/>
      <c r="BJ4" s="8"/>
      <c r="BK4" s="8"/>
      <c r="BL4" s="8"/>
      <c r="BT4" s="80"/>
      <c r="BZ4" s="8"/>
      <c r="CA4" s="119"/>
      <c r="CI4" s="80"/>
      <c r="CJ4" s="92"/>
      <c r="CK4" s="115"/>
      <c r="CL4" s="106"/>
      <c r="CM4" s="96"/>
      <c r="CN4" s="101"/>
      <c r="CO4" s="101"/>
      <c r="CP4" s="101"/>
      <c r="CQ4" s="101"/>
    </row>
    <row r="5" spans="1:108" x14ac:dyDescent="0.3">
      <c r="A5" s="3" t="s">
        <v>71</v>
      </c>
      <c r="B5" s="3" t="s">
        <v>72</v>
      </c>
      <c r="C5" s="3" t="s">
        <v>1707</v>
      </c>
      <c r="D5" s="3" t="s">
        <v>74</v>
      </c>
      <c r="E5" s="3" t="s">
        <v>75</v>
      </c>
      <c r="F5" s="3" t="s">
        <v>74</v>
      </c>
      <c r="G5" s="3" t="s">
        <v>75</v>
      </c>
      <c r="H5" s="3" t="s">
        <v>75</v>
      </c>
      <c r="I5" s="3" t="s">
        <v>75</v>
      </c>
      <c r="J5" s="3" t="s">
        <v>74</v>
      </c>
      <c r="K5" s="3" t="s">
        <v>74</v>
      </c>
      <c r="L5" s="3" t="s">
        <v>74</v>
      </c>
      <c r="M5" s="3" t="s">
        <v>74</v>
      </c>
      <c r="N5" s="3" t="s">
        <v>74</v>
      </c>
      <c r="O5" s="3" t="s">
        <v>74</v>
      </c>
      <c r="P5" s="3" t="s">
        <v>74</v>
      </c>
      <c r="Q5" s="3" t="s">
        <v>74</v>
      </c>
      <c r="R5" s="3" t="s">
        <v>74</v>
      </c>
      <c r="S5" s="3" t="s">
        <v>74</v>
      </c>
      <c r="T5" s="3" t="s">
        <v>76</v>
      </c>
      <c r="U5" s="3" t="s">
        <v>76</v>
      </c>
      <c r="V5" s="3" t="s">
        <v>76</v>
      </c>
      <c r="W5" s="3"/>
      <c r="X5" s="3" t="s">
        <v>77</v>
      </c>
      <c r="Y5" s="3"/>
      <c r="Z5" s="3" t="s">
        <v>76</v>
      </c>
      <c r="AA5" s="3" t="s">
        <v>74</v>
      </c>
      <c r="AB5" s="3" t="s">
        <v>73</v>
      </c>
      <c r="AC5" s="3" t="s">
        <v>74</v>
      </c>
      <c r="AD5" s="3" t="s">
        <v>76</v>
      </c>
      <c r="AE5" s="3" t="s">
        <v>74</v>
      </c>
      <c r="AF5" s="3" t="s">
        <v>74</v>
      </c>
      <c r="AG5" s="3" t="s">
        <v>74</v>
      </c>
      <c r="AH5" s="3" t="s">
        <v>74</v>
      </c>
      <c r="AI5" s="3" t="s">
        <v>74</v>
      </c>
      <c r="AJ5" s="3" t="s">
        <v>76</v>
      </c>
      <c r="AK5" s="3" t="s">
        <v>76</v>
      </c>
      <c r="AL5" s="3" t="s">
        <v>75</v>
      </c>
      <c r="AM5" s="3"/>
      <c r="AN5" s="3"/>
      <c r="AO5" s="3"/>
      <c r="AP5" s="3"/>
      <c r="AQ5" s="3"/>
      <c r="AR5" s="3"/>
      <c r="AS5" s="3"/>
      <c r="AT5" s="72"/>
      <c r="AU5" s="3"/>
      <c r="AV5" s="3"/>
      <c r="AW5" s="3"/>
      <c r="AX5" s="3"/>
      <c r="AY5" s="3"/>
      <c r="AZ5" s="3"/>
      <c r="BA5" s="3"/>
      <c r="BB5" s="3"/>
      <c r="BC5" s="3"/>
      <c r="BD5" s="3"/>
      <c r="BE5" s="3"/>
      <c r="BF5" s="3" t="s">
        <v>1643</v>
      </c>
      <c r="BG5" s="3" t="s">
        <v>1644</v>
      </c>
      <c r="BH5" s="3" t="s">
        <v>1645</v>
      </c>
      <c r="BI5" s="3" t="s">
        <v>1425</v>
      </c>
      <c r="BJ5" s="11" t="s">
        <v>1369</v>
      </c>
      <c r="BK5" s="11" t="s">
        <v>1370</v>
      </c>
      <c r="BL5" s="13" t="s">
        <v>1373</v>
      </c>
      <c r="BM5" s="12" t="s">
        <v>1375</v>
      </c>
      <c r="BN5" s="11" t="s">
        <v>1376</v>
      </c>
      <c r="BO5" s="12" t="s">
        <v>1378</v>
      </c>
      <c r="BP5" t="s">
        <v>1379</v>
      </c>
      <c r="BQ5" s="13" t="s">
        <v>1380</v>
      </c>
      <c r="BR5" s="13" t="s">
        <v>1382</v>
      </c>
      <c r="BS5" s="13" t="s">
        <v>1384</v>
      </c>
      <c r="BT5" s="81"/>
      <c r="BU5" s="15" t="s">
        <v>1385</v>
      </c>
      <c r="BV5" s="15" t="s">
        <v>1387</v>
      </c>
      <c r="BW5" s="14" t="s">
        <v>1389</v>
      </c>
      <c r="BX5" s="14" t="s">
        <v>1390</v>
      </c>
      <c r="BY5" s="14" t="s">
        <v>1391</v>
      </c>
      <c r="BZ5" s="3" t="s">
        <v>1393</v>
      </c>
      <c r="CA5" s="120" t="s">
        <v>1394</v>
      </c>
      <c r="CB5" s="15" t="s">
        <v>1395</v>
      </c>
      <c r="CC5" s="14" t="s">
        <v>1397</v>
      </c>
      <c r="CD5" s="15" t="s">
        <v>1398</v>
      </c>
      <c r="CE5" s="14" t="s">
        <v>1524</v>
      </c>
      <c r="CF5" s="14" t="s">
        <v>1399</v>
      </c>
      <c r="CG5" s="16" t="s">
        <v>1400</v>
      </c>
      <c r="CH5" s="41" t="s">
        <v>1547</v>
      </c>
      <c r="CI5" s="85"/>
      <c r="CT5" s="1" t="s">
        <v>1638</v>
      </c>
      <c r="CU5" s="1" t="s">
        <v>1639</v>
      </c>
      <c r="CV5" s="1" t="s">
        <v>1640</v>
      </c>
      <c r="CW5" s="1" t="s">
        <v>1641</v>
      </c>
      <c r="CY5" s="1" t="s">
        <v>1697</v>
      </c>
      <c r="CZ5" s="1" t="s">
        <v>1698</v>
      </c>
      <c r="DA5" s="1" t="s">
        <v>1701</v>
      </c>
      <c r="DB5" s="1" t="s">
        <v>1236</v>
      </c>
      <c r="DC5" t="s">
        <v>1704</v>
      </c>
      <c r="DD5" t="s">
        <v>1705</v>
      </c>
    </row>
    <row r="6" spans="1:108" x14ac:dyDescent="0.3">
      <c r="A6" s="3" t="s">
        <v>78</v>
      </c>
      <c r="B6" s="3" t="s">
        <v>78</v>
      </c>
      <c r="C6" s="3" t="s">
        <v>79</v>
      </c>
      <c r="D6" s="3" t="s">
        <v>79</v>
      </c>
      <c r="E6" s="3" t="s">
        <v>80</v>
      </c>
      <c r="F6" s="3" t="s">
        <v>79</v>
      </c>
      <c r="G6" s="3" t="s">
        <v>80</v>
      </c>
      <c r="H6" s="3" t="s">
        <v>79</v>
      </c>
      <c r="I6" s="3" t="s">
        <v>80</v>
      </c>
      <c r="J6" s="3" t="s">
        <v>1424</v>
      </c>
      <c r="K6" s="3" t="s">
        <v>80</v>
      </c>
      <c r="L6" s="3" t="s">
        <v>80</v>
      </c>
      <c r="M6" s="3" t="s">
        <v>80</v>
      </c>
      <c r="N6" s="3" t="s">
        <v>80</v>
      </c>
      <c r="O6" s="3" t="s">
        <v>80</v>
      </c>
      <c r="P6" s="3" t="s">
        <v>80</v>
      </c>
      <c r="Q6" s="3" t="s">
        <v>80</v>
      </c>
      <c r="R6" s="3" t="s">
        <v>80</v>
      </c>
      <c r="S6" s="3" t="s">
        <v>80</v>
      </c>
      <c r="T6" s="3" t="s">
        <v>79</v>
      </c>
      <c r="U6" s="3" t="s">
        <v>79</v>
      </c>
      <c r="V6" s="3" t="s">
        <v>80</v>
      </c>
      <c r="W6" s="3" t="s">
        <v>81</v>
      </c>
      <c r="X6" s="3" t="s">
        <v>79</v>
      </c>
      <c r="Y6" s="3" t="s">
        <v>80</v>
      </c>
      <c r="Z6" s="3" t="s">
        <v>79</v>
      </c>
      <c r="AA6" s="3" t="s">
        <v>80</v>
      </c>
      <c r="AB6" s="3" t="s">
        <v>80</v>
      </c>
      <c r="AC6" s="3" t="s">
        <v>79</v>
      </c>
      <c r="AD6" s="3" t="s">
        <v>80</v>
      </c>
      <c r="AE6" s="3" t="s">
        <v>80</v>
      </c>
      <c r="AF6" s="3" t="s">
        <v>80</v>
      </c>
      <c r="AG6" s="3" t="s">
        <v>80</v>
      </c>
      <c r="AH6" s="3" t="s">
        <v>80</v>
      </c>
      <c r="AI6" s="3" t="s">
        <v>81</v>
      </c>
      <c r="AJ6" s="3" t="s">
        <v>79</v>
      </c>
      <c r="AK6" s="3" t="s">
        <v>79</v>
      </c>
      <c r="AL6" s="3" t="s">
        <v>80</v>
      </c>
      <c r="AM6" s="3" t="s">
        <v>81</v>
      </c>
      <c r="AN6" s="3" t="s">
        <v>81</v>
      </c>
      <c r="AO6" s="3" t="s">
        <v>81</v>
      </c>
      <c r="AP6" s="3" t="s">
        <v>81</v>
      </c>
      <c r="AQ6" s="3" t="s">
        <v>81</v>
      </c>
      <c r="AR6" s="3" t="s">
        <v>1424</v>
      </c>
      <c r="AS6" s="3" t="s">
        <v>81</v>
      </c>
      <c r="AT6" s="72" t="s">
        <v>81</v>
      </c>
      <c r="AU6" s="3" t="s">
        <v>80</v>
      </c>
      <c r="AV6" s="3" t="s">
        <v>80</v>
      </c>
      <c r="AW6" s="3" t="s">
        <v>80</v>
      </c>
      <c r="AX6" s="3" t="s">
        <v>80</v>
      </c>
      <c r="AY6" s="3" t="s">
        <v>80</v>
      </c>
      <c r="AZ6" s="3" t="s">
        <v>81</v>
      </c>
      <c r="BA6" s="3" t="s">
        <v>81</v>
      </c>
      <c r="BB6" s="3" t="s">
        <v>80</v>
      </c>
      <c r="BC6" s="3" t="s">
        <v>81</v>
      </c>
      <c r="BD6" s="3" t="s">
        <v>81</v>
      </c>
      <c r="BE6" s="3" t="s">
        <v>79</v>
      </c>
      <c r="BF6" s="3" t="s">
        <v>79</v>
      </c>
      <c r="BG6" s="3" t="s">
        <v>79</v>
      </c>
      <c r="BH6" s="3" t="s">
        <v>79</v>
      </c>
      <c r="BI6" s="3" t="s">
        <v>79</v>
      </c>
      <c r="BJ6" s="3" t="s">
        <v>79</v>
      </c>
      <c r="BK6" s="3" t="s">
        <v>79</v>
      </c>
      <c r="BL6" s="3" t="s">
        <v>79</v>
      </c>
      <c r="BM6" s="3" t="s">
        <v>79</v>
      </c>
      <c r="BN6" s="3" t="s">
        <v>79</v>
      </c>
      <c r="BO6" s="3" t="s">
        <v>79</v>
      </c>
      <c r="BP6" s="3" t="s">
        <v>79</v>
      </c>
      <c r="BQ6" s="3" t="s">
        <v>79</v>
      </c>
      <c r="BR6" s="3" t="s">
        <v>79</v>
      </c>
      <c r="BS6" s="3" t="s">
        <v>79</v>
      </c>
      <c r="BT6" s="82" t="s">
        <v>81</v>
      </c>
      <c r="BU6" s="3" t="s">
        <v>79</v>
      </c>
      <c r="BV6" s="3" t="s">
        <v>79</v>
      </c>
      <c r="BW6" s="3" t="s">
        <v>79</v>
      </c>
      <c r="BX6" s="3" t="s">
        <v>79</v>
      </c>
      <c r="BY6" s="3" t="s">
        <v>79</v>
      </c>
      <c r="BZ6" s="3" t="s">
        <v>79</v>
      </c>
      <c r="CA6" s="121" t="s">
        <v>79</v>
      </c>
      <c r="CB6" s="3" t="s">
        <v>79</v>
      </c>
      <c r="CC6" s="3" t="s">
        <v>79</v>
      </c>
      <c r="CD6" s="3" t="s">
        <v>79</v>
      </c>
      <c r="CE6" s="3" t="s">
        <v>79</v>
      </c>
      <c r="CF6" s="3" t="s">
        <v>79</v>
      </c>
      <c r="CG6" s="3" t="s">
        <v>79</v>
      </c>
      <c r="CH6" s="3" t="s">
        <v>79</v>
      </c>
      <c r="CI6" s="82" t="s">
        <v>81</v>
      </c>
      <c r="CJ6" s="93" t="s">
        <v>79</v>
      </c>
      <c r="CK6" s="116" t="s">
        <v>81</v>
      </c>
      <c r="CL6" s="107" t="s">
        <v>79</v>
      </c>
      <c r="CM6" s="97" t="s">
        <v>79</v>
      </c>
      <c r="CN6" s="102" t="s">
        <v>79</v>
      </c>
      <c r="CO6" s="102" t="s">
        <v>79</v>
      </c>
      <c r="CP6" s="102" t="s">
        <v>79</v>
      </c>
      <c r="CQ6" s="102" t="s">
        <v>79</v>
      </c>
      <c r="CR6" s="102" t="s">
        <v>79</v>
      </c>
      <c r="CT6" s="102" t="s">
        <v>79</v>
      </c>
      <c r="CU6" s="102" t="s">
        <v>79</v>
      </c>
      <c r="CV6" s="102" t="s">
        <v>79</v>
      </c>
      <c r="CW6" s="102" t="s">
        <v>79</v>
      </c>
      <c r="CX6" s="102" t="s">
        <v>79</v>
      </c>
      <c r="CY6" s="102" t="s">
        <v>79</v>
      </c>
      <c r="CZ6" s="102" t="s">
        <v>79</v>
      </c>
      <c r="DA6" s="102" t="s">
        <v>79</v>
      </c>
      <c r="DB6" s="102" t="s">
        <v>79</v>
      </c>
      <c r="DC6" s="102" t="s">
        <v>79</v>
      </c>
      <c r="DD6" s="102" t="s">
        <v>79</v>
      </c>
    </row>
    <row r="7" spans="1:108" x14ac:dyDescent="0.3">
      <c r="A7" s="3" t="s">
        <v>82</v>
      </c>
      <c r="B7" s="3" t="s">
        <v>82</v>
      </c>
      <c r="C7" s="3" t="s">
        <v>82</v>
      </c>
      <c r="D7" s="3" t="s">
        <v>82</v>
      </c>
      <c r="E7" s="3"/>
      <c r="F7" s="20" t="s">
        <v>1427</v>
      </c>
      <c r="G7" s="24"/>
      <c r="H7" s="24"/>
      <c r="I7" s="24"/>
      <c r="J7" s="23" t="s">
        <v>89</v>
      </c>
      <c r="K7" s="24"/>
      <c r="L7" s="24"/>
      <c r="M7" s="24"/>
      <c r="N7" s="24"/>
      <c r="O7" s="24"/>
      <c r="P7" s="24"/>
      <c r="Q7" s="24"/>
      <c r="R7" s="24"/>
      <c r="S7" s="24"/>
      <c r="T7" s="24"/>
      <c r="U7" s="3" t="s">
        <v>82</v>
      </c>
      <c r="V7" s="3" t="s">
        <v>82</v>
      </c>
      <c r="W7" s="3"/>
      <c r="X7" s="36" t="s">
        <v>89</v>
      </c>
      <c r="Y7" s="36"/>
      <c r="Z7" s="36" t="s">
        <v>89</v>
      </c>
      <c r="AA7" s="36"/>
      <c r="AB7" s="36"/>
      <c r="AC7" s="20" t="s">
        <v>1427</v>
      </c>
      <c r="AD7" s="3"/>
      <c r="AE7" s="3"/>
      <c r="AF7" s="3"/>
      <c r="AG7" s="3"/>
      <c r="AH7" s="3" t="s">
        <v>82</v>
      </c>
      <c r="AI7" s="3" t="s">
        <v>82</v>
      </c>
      <c r="AJ7" s="3" t="s">
        <v>82</v>
      </c>
      <c r="AK7" s="36" t="s">
        <v>89</v>
      </c>
      <c r="AL7" s="3" t="s">
        <v>82</v>
      </c>
      <c r="AM7" s="3"/>
      <c r="AN7" s="3"/>
      <c r="AO7" s="3"/>
      <c r="AP7" s="3"/>
      <c r="AQ7" s="3"/>
      <c r="AR7" s="23" t="s">
        <v>1427</v>
      </c>
      <c r="AS7" s="3"/>
      <c r="AT7" s="72"/>
      <c r="AU7" s="3"/>
      <c r="AV7" s="3"/>
      <c r="AW7" s="3"/>
      <c r="AX7" s="3"/>
      <c r="AY7" s="3"/>
      <c r="AZ7" s="3"/>
      <c r="BA7" s="3"/>
      <c r="BB7" s="3"/>
      <c r="BC7" s="3"/>
      <c r="BD7" s="3"/>
      <c r="BE7" s="3"/>
      <c r="BF7" s="3"/>
      <c r="BG7" s="3"/>
      <c r="BH7" s="3"/>
      <c r="BI7" s="3"/>
      <c r="BJ7" s="129" t="s">
        <v>89</v>
      </c>
      <c r="BK7" s="129"/>
      <c r="BL7" s="129"/>
      <c r="BM7" s="3"/>
      <c r="BN7" s="129" t="s">
        <v>89</v>
      </c>
      <c r="BO7" s="129"/>
      <c r="BP7" s="129"/>
      <c r="BQ7" s="129"/>
      <c r="BR7" s="129"/>
      <c r="BS7" s="129"/>
      <c r="BT7" s="83" t="s">
        <v>89</v>
      </c>
      <c r="BU7" s="128" t="s">
        <v>1427</v>
      </c>
      <c r="BV7" s="128"/>
      <c r="BW7" s="128"/>
      <c r="BX7" s="128"/>
      <c r="BY7" s="128"/>
      <c r="BZ7" s="128"/>
      <c r="CA7" s="122" t="s">
        <v>89</v>
      </c>
      <c r="CB7" s="128" t="s">
        <v>1427</v>
      </c>
      <c r="CC7" s="128"/>
      <c r="CD7" s="128"/>
      <c r="CE7" s="128"/>
      <c r="CF7" s="128"/>
      <c r="CG7" s="128"/>
      <c r="CI7" s="86" t="s">
        <v>1432</v>
      </c>
      <c r="CJ7" s="65" t="s">
        <v>1603</v>
      </c>
      <c r="CK7" s="117" t="s">
        <v>1432</v>
      </c>
      <c r="CL7" s="108" t="s">
        <v>1603</v>
      </c>
      <c r="CM7" s="98" t="s">
        <v>1603</v>
      </c>
      <c r="CN7" s="103" t="s">
        <v>1603</v>
      </c>
      <c r="CO7" s="103" t="s">
        <v>1603</v>
      </c>
      <c r="CP7" s="103" t="s">
        <v>1603</v>
      </c>
      <c r="CQ7" s="103" t="s">
        <v>1603</v>
      </c>
      <c r="CX7" s="103" t="s">
        <v>1603</v>
      </c>
    </row>
    <row r="8" spans="1:108" s="19" customFormat="1" ht="50.25" customHeight="1" x14ac:dyDescent="0.3">
      <c r="A8" s="18" t="s">
        <v>1</v>
      </c>
      <c r="B8" s="18" t="s">
        <v>2</v>
      </c>
      <c r="C8" s="18" t="s">
        <v>83</v>
      </c>
      <c r="D8" s="18" t="s">
        <v>84</v>
      </c>
      <c r="E8" s="18" t="s">
        <v>1654</v>
      </c>
      <c r="F8" s="18" t="s">
        <v>85</v>
      </c>
      <c r="G8" s="10" t="s">
        <v>86</v>
      </c>
      <c r="H8" s="18" t="s">
        <v>87</v>
      </c>
      <c r="I8" s="10" t="s">
        <v>88</v>
      </c>
      <c r="J8" s="26" t="s">
        <v>89</v>
      </c>
      <c r="K8" s="10" t="s">
        <v>90</v>
      </c>
      <c r="L8" s="10" t="s">
        <v>91</v>
      </c>
      <c r="M8" s="10" t="s">
        <v>92</v>
      </c>
      <c r="N8" s="10" t="s">
        <v>93</v>
      </c>
      <c r="O8" s="10" t="s">
        <v>94</v>
      </c>
      <c r="P8" s="10" t="s">
        <v>95</v>
      </c>
      <c r="Q8" s="10" t="s">
        <v>96</v>
      </c>
      <c r="R8" s="10" t="s">
        <v>97</v>
      </c>
      <c r="S8" s="10" t="s">
        <v>98</v>
      </c>
      <c r="T8" s="17" t="s">
        <v>99</v>
      </c>
      <c r="U8" s="17" t="s">
        <v>100</v>
      </c>
      <c r="V8" s="18" t="s">
        <v>101</v>
      </c>
      <c r="W8" s="22" t="s">
        <v>618</v>
      </c>
      <c r="X8" s="18" t="s">
        <v>102</v>
      </c>
      <c r="Y8" s="10" t="s">
        <v>1355</v>
      </c>
      <c r="Z8" s="18" t="s">
        <v>103</v>
      </c>
      <c r="AA8" s="10" t="s">
        <v>104</v>
      </c>
      <c r="AB8" s="10" t="s">
        <v>105</v>
      </c>
      <c r="AC8" s="18" t="s">
        <v>106</v>
      </c>
      <c r="AD8" s="10" t="s">
        <v>107</v>
      </c>
      <c r="AE8" s="10" t="s">
        <v>108</v>
      </c>
      <c r="AF8" s="10" t="s">
        <v>109</v>
      </c>
      <c r="AG8" s="10" t="s">
        <v>110</v>
      </c>
      <c r="AH8" s="10" t="s">
        <v>111</v>
      </c>
      <c r="AI8" s="18" t="s">
        <v>112</v>
      </c>
      <c r="AJ8" s="18" t="s">
        <v>113</v>
      </c>
      <c r="AK8" s="18" t="s">
        <v>114</v>
      </c>
      <c r="AL8" s="10" t="s">
        <v>115</v>
      </c>
      <c r="AM8" s="17" t="s">
        <v>1325</v>
      </c>
      <c r="AN8" s="18" t="s">
        <v>1346</v>
      </c>
      <c r="AO8" s="18" t="s">
        <v>1347</v>
      </c>
      <c r="AP8" s="18" t="s">
        <v>1348</v>
      </c>
      <c r="AQ8" s="18" t="s">
        <v>1330</v>
      </c>
      <c r="AR8" s="26" t="s">
        <v>1349</v>
      </c>
      <c r="AS8" s="18" t="s">
        <v>202</v>
      </c>
      <c r="AT8" s="90" t="s">
        <v>207</v>
      </c>
      <c r="AU8" s="10" t="s">
        <v>556</v>
      </c>
      <c r="AV8" s="10" t="s">
        <v>1350</v>
      </c>
      <c r="AW8" s="10" t="s">
        <v>1351</v>
      </c>
      <c r="AX8" s="10" t="s">
        <v>1352</v>
      </c>
      <c r="AY8" s="10" t="s">
        <v>1339</v>
      </c>
      <c r="AZ8" s="18" t="s">
        <v>593</v>
      </c>
      <c r="BA8" s="18" t="s">
        <v>445</v>
      </c>
      <c r="BB8" s="18" t="s">
        <v>415</v>
      </c>
      <c r="BC8" s="18" t="s">
        <v>1353</v>
      </c>
      <c r="BD8" s="10" t="s">
        <v>1354</v>
      </c>
      <c r="BE8" s="10" t="s">
        <v>1360</v>
      </c>
      <c r="BF8" s="18" t="s">
        <v>1643</v>
      </c>
      <c r="BG8" s="18" t="s">
        <v>1644</v>
      </c>
      <c r="BH8" s="18" t="s">
        <v>1645</v>
      </c>
      <c r="BI8" s="18" t="s">
        <v>1361</v>
      </c>
      <c r="BJ8" s="18" t="s">
        <v>1371</v>
      </c>
      <c r="BK8" s="18" t="s">
        <v>1372</v>
      </c>
      <c r="BL8" s="18" t="s">
        <v>1374</v>
      </c>
      <c r="BM8" s="18" t="s">
        <v>1520</v>
      </c>
      <c r="BN8" s="18" t="s">
        <v>1377</v>
      </c>
      <c r="BO8" s="18" t="s">
        <v>1514</v>
      </c>
      <c r="BP8" s="18" t="s">
        <v>1512</v>
      </c>
      <c r="BQ8" s="18" t="s">
        <v>1381</v>
      </c>
      <c r="BR8" s="18" t="s">
        <v>1383</v>
      </c>
      <c r="BS8" s="18" t="s">
        <v>1513</v>
      </c>
      <c r="BT8" s="84" t="s">
        <v>1430</v>
      </c>
      <c r="BU8" s="18" t="s">
        <v>1386</v>
      </c>
      <c r="BV8" s="18" t="s">
        <v>1388</v>
      </c>
      <c r="BW8" s="18" t="s">
        <v>1515</v>
      </c>
      <c r="BX8" s="18" t="s">
        <v>1516</v>
      </c>
      <c r="BY8" s="18" t="s">
        <v>1392</v>
      </c>
      <c r="BZ8" s="18" t="s">
        <v>1359</v>
      </c>
      <c r="CA8" s="123" t="s">
        <v>1517</v>
      </c>
      <c r="CB8" s="18" t="s">
        <v>1396</v>
      </c>
      <c r="CC8" s="18" t="s">
        <v>1518</v>
      </c>
      <c r="CD8" s="18" t="s">
        <v>1636</v>
      </c>
      <c r="CE8" s="18" t="s">
        <v>1543</v>
      </c>
      <c r="CF8" s="18" t="s">
        <v>1519</v>
      </c>
      <c r="CG8" s="18" t="s">
        <v>1417</v>
      </c>
      <c r="CH8" s="18" t="s">
        <v>1555</v>
      </c>
      <c r="CI8" s="87" t="s">
        <v>1437</v>
      </c>
      <c r="CJ8" s="94" t="s">
        <v>1431</v>
      </c>
      <c r="CK8" s="118" t="s">
        <v>1433</v>
      </c>
      <c r="CL8" s="109" t="s">
        <v>1597</v>
      </c>
      <c r="CM8" s="99" t="s">
        <v>1598</v>
      </c>
      <c r="CN8" s="104" t="s">
        <v>1599</v>
      </c>
      <c r="CO8" s="104" t="s">
        <v>1600</v>
      </c>
      <c r="CP8" s="104" t="s">
        <v>1601</v>
      </c>
      <c r="CQ8" s="104" t="s">
        <v>1602</v>
      </c>
      <c r="CR8" s="99" t="s">
        <v>1668</v>
      </c>
      <c r="CS8" s="99" t="s">
        <v>1665</v>
      </c>
      <c r="CT8" s="99" t="s">
        <v>1672</v>
      </c>
      <c r="CU8" s="99" t="s">
        <v>1673</v>
      </c>
      <c r="CV8" s="99" t="s">
        <v>1674</v>
      </c>
      <c r="CW8" s="99" t="s">
        <v>1675</v>
      </c>
      <c r="CX8" s="99" t="s">
        <v>1664</v>
      </c>
      <c r="CY8" s="127" t="s">
        <v>1697</v>
      </c>
      <c r="CZ8" s="127" t="s">
        <v>1698</v>
      </c>
      <c r="DA8" s="127" t="s">
        <v>1700</v>
      </c>
      <c r="DB8" s="127" t="s">
        <v>1236</v>
      </c>
      <c r="DC8" s="127" t="s">
        <v>1704</v>
      </c>
      <c r="DD8" s="127" t="s">
        <v>1705</v>
      </c>
    </row>
  </sheetData>
  <autoFilter ref="A8:DD8"/>
  <mergeCells count="4">
    <mergeCell ref="BU7:BZ7"/>
    <mergeCell ref="CB7:CG7"/>
    <mergeCell ref="BJ7:BL7"/>
    <mergeCell ref="BN7:BS7"/>
  </mergeCells>
  <pageMargins left="0.7" right="0.7" top="0.75" bottom="0.75" header="0.3" footer="0.3"/>
  <pageSetup orientation="portrait" horizontalDpi="4294967295" verticalDpi="4294967295" r:id="rId1"/>
  <headerFooter>
    <oddFooter>&amp;R&amp;1#&amp;"Calibri"&amp;10&amp;K0000FFClassification :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Feuil1.MainApplicaion">
                <anchor moveWithCells="1">
                  <from>
                    <xdr:col>1</xdr:col>
                    <xdr:colOff>228600</xdr:colOff>
                    <xdr:row>0</xdr:row>
                    <xdr:rowOff>83820</xdr:rowOff>
                  </from>
                  <to>
                    <xdr:col>1</xdr:col>
                    <xdr:colOff>1516380</xdr:colOff>
                    <xdr:row>0</xdr:row>
                    <xdr:rowOff>312420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Q49"/>
  <sheetViews>
    <sheetView zoomScale="98" zoomScaleNormal="98" workbookViewId="0">
      <pane xSplit="3" ySplit="1" topLeftCell="D6" activePane="bottomRight" state="frozenSplit"/>
      <selection pane="topRight" activeCell="D1" sqref="D1"/>
      <selection pane="bottomLeft" activeCell="A2" sqref="A2"/>
      <selection pane="bottomRight" activeCell="J31" sqref="J31"/>
    </sheetView>
  </sheetViews>
  <sheetFormatPr baseColWidth="10" defaultColWidth="11.44140625" defaultRowHeight="14.4" x14ac:dyDescent="0.3"/>
  <cols>
    <col min="1" max="1" width="15.5546875" style="27" customWidth="1" collapsed="1"/>
    <col min="2" max="2" width="16.33203125" style="27" hidden="1" customWidth="1" collapsed="1"/>
    <col min="3" max="3" width="10.33203125" style="27" customWidth="1" collapsed="1"/>
    <col min="4" max="4" width="150.33203125" style="68" customWidth="1" collapsed="1"/>
    <col min="5" max="5" width="53.5546875" style="27" hidden="1" customWidth="1" collapsed="1"/>
    <col min="6" max="6" width="21.44140625" style="27" customWidth="1" collapsed="1"/>
    <col min="7" max="7" width="11.44140625" style="27" customWidth="1" collapsed="1"/>
    <col min="8" max="8" width="14.33203125" style="27" customWidth="1" collapsed="1"/>
    <col min="9" max="9" width="17.6640625" style="27" customWidth="1" collapsed="1"/>
    <col min="10" max="11" width="13" style="27" customWidth="1" collapsed="1"/>
    <col min="12" max="12" width="13.33203125" style="27" customWidth="1" collapsed="1"/>
    <col min="13" max="20" width="13.44140625" style="27" customWidth="1" collapsed="1"/>
    <col min="21" max="37" width="8" style="27" customWidth="1" collapsed="1"/>
    <col min="38" max="38" width="9.5546875" style="27" bestFit="1" customWidth="1" collapsed="1"/>
    <col min="39" max="40" width="11.44140625" style="27" customWidth="1" collapsed="1"/>
    <col min="41" max="41" width="11.44140625" style="4" customWidth="1" collapsed="1"/>
    <col min="42" max="16384" width="11.44140625" style="4" collapsed="1"/>
  </cols>
  <sheetData>
    <row r="1" spans="1:43" x14ac:dyDescent="0.3">
      <c r="A1" s="34" t="s">
        <v>1556</v>
      </c>
      <c r="B1" s="34" t="s">
        <v>1557</v>
      </c>
      <c r="C1" s="34" t="s">
        <v>1558</v>
      </c>
      <c r="D1" s="34" t="s">
        <v>1559</v>
      </c>
      <c r="E1" s="34"/>
      <c r="F1" s="34" t="s">
        <v>1560</v>
      </c>
      <c r="G1" s="34" t="s">
        <v>1488</v>
      </c>
      <c r="H1" s="43" t="s">
        <v>1489</v>
      </c>
      <c r="I1" s="34" t="s">
        <v>1490</v>
      </c>
      <c r="J1" s="43" t="s">
        <v>1491</v>
      </c>
      <c r="K1" s="43" t="s">
        <v>1492</v>
      </c>
      <c r="L1" s="43" t="s">
        <v>1493</v>
      </c>
      <c r="M1" s="43" t="s">
        <v>1494</v>
      </c>
      <c r="N1" s="34" t="s">
        <v>1495</v>
      </c>
      <c r="O1" s="34" t="s">
        <v>1527</v>
      </c>
      <c r="P1" s="34" t="s">
        <v>1528</v>
      </c>
      <c r="Q1" s="34" t="s">
        <v>1529</v>
      </c>
      <c r="R1" s="34" t="s">
        <v>1530</v>
      </c>
      <c r="S1" s="34" t="s">
        <v>1531</v>
      </c>
      <c r="T1" s="34" t="s">
        <v>1532</v>
      </c>
      <c r="U1" s="34" t="s">
        <v>1496</v>
      </c>
      <c r="V1" s="34" t="s">
        <v>1497</v>
      </c>
      <c r="W1" s="34" t="s">
        <v>1498</v>
      </c>
      <c r="X1" s="34" t="s">
        <v>1499</v>
      </c>
      <c r="Y1" s="34" t="s">
        <v>1500</v>
      </c>
      <c r="Z1" s="34" t="s">
        <v>1501</v>
      </c>
      <c r="AA1" s="34" t="s">
        <v>1502</v>
      </c>
      <c r="AB1" s="34" t="s">
        <v>1503</v>
      </c>
      <c r="AC1" s="34" t="s">
        <v>1535</v>
      </c>
      <c r="AD1" s="34" t="s">
        <v>1536</v>
      </c>
      <c r="AE1" s="34" t="s">
        <v>1537</v>
      </c>
      <c r="AF1" s="34" t="s">
        <v>1538</v>
      </c>
      <c r="AG1" s="34" t="s">
        <v>1539</v>
      </c>
      <c r="AH1" s="34" t="s">
        <v>1540</v>
      </c>
      <c r="AI1" s="34" t="s">
        <v>1659</v>
      </c>
      <c r="AJ1" s="34" t="s">
        <v>1561</v>
      </c>
      <c r="AK1" s="34" t="s">
        <v>1562</v>
      </c>
      <c r="AL1" s="34" t="s">
        <v>1563</v>
      </c>
      <c r="AM1" s="34" t="s">
        <v>1564</v>
      </c>
      <c r="AN1" s="34" t="s">
        <v>1565</v>
      </c>
      <c r="AO1" s="34" t="s">
        <v>1566</v>
      </c>
    </row>
    <row r="2" spans="1:43" x14ac:dyDescent="0.3">
      <c r="A2" s="13" t="s">
        <v>1567</v>
      </c>
      <c r="B2" s="27" t="s">
        <v>1568</v>
      </c>
      <c r="C2" s="27">
        <v>2</v>
      </c>
      <c r="D2" s="77" t="s">
        <v>1369</v>
      </c>
      <c r="E2" s="27" t="str">
        <f t="shared" ref="E2:E21" si="0">B2&amp;"-"&amp;D2</f>
        <v>Image-Le dysfonctionnement de cette application peut-il nuire à l'image de l'entreprise ?</v>
      </c>
      <c r="F2" s="13" t="s">
        <v>1569</v>
      </c>
      <c r="G2" s="13" t="s">
        <v>1504</v>
      </c>
      <c r="H2" s="44" t="s">
        <v>1505</v>
      </c>
      <c r="I2" s="35" t="s">
        <v>1506</v>
      </c>
      <c r="J2" s="112" t="s">
        <v>1683</v>
      </c>
      <c r="K2" s="13"/>
      <c r="L2" s="13"/>
      <c r="M2" s="13"/>
      <c r="N2" s="13"/>
      <c r="O2" s="13"/>
      <c r="P2" s="13"/>
      <c r="Q2" s="13"/>
      <c r="R2" s="13"/>
      <c r="S2" s="13"/>
      <c r="T2" s="13"/>
      <c r="U2" s="27">
        <v>0</v>
      </c>
      <c r="V2" s="27">
        <v>150</v>
      </c>
      <c r="W2" s="27">
        <v>175</v>
      </c>
      <c r="X2" s="27">
        <v>235</v>
      </c>
      <c r="AI2" s="27">
        <f>MIN(U2:AH2)</f>
        <v>0</v>
      </c>
      <c r="AJ2" s="27">
        <f>MAX(U2:AH2)</f>
        <v>235</v>
      </c>
      <c r="AK2" s="27">
        <f>SUM(U2:AH2)</f>
        <v>560</v>
      </c>
      <c r="AL2" s="27">
        <v>1</v>
      </c>
      <c r="AM2" s="27">
        <f>AJ2</f>
        <v>235</v>
      </c>
      <c r="AN2" s="45">
        <f>(AM2-AI2)/(AJ2-AI2)*100</f>
        <v>100</v>
      </c>
      <c r="AO2" s="27"/>
      <c r="AP2" s="4" t="s">
        <v>1570</v>
      </c>
      <c r="AQ2" s="4">
        <f>SUM(AI2:AI14)</f>
        <v>170</v>
      </c>
    </row>
    <row r="3" spans="1:43" x14ac:dyDescent="0.3">
      <c r="A3" s="13" t="s">
        <v>1567</v>
      </c>
      <c r="B3" s="27" t="s">
        <v>1571</v>
      </c>
      <c r="C3" s="27">
        <v>3</v>
      </c>
      <c r="D3" s="77" t="s">
        <v>1370</v>
      </c>
      <c r="E3" s="27" t="str">
        <f t="shared" si="0"/>
        <v xml:space="preserve">Financier-Le dysfonctionnement de cette application peut-il entraîner une perte financière? </v>
      </c>
      <c r="F3" s="13" t="s">
        <v>1569</v>
      </c>
      <c r="G3" s="13" t="s">
        <v>1365</v>
      </c>
      <c r="H3" s="64" t="s">
        <v>1652</v>
      </c>
      <c r="I3" s="44" t="s">
        <v>1507</v>
      </c>
      <c r="J3" s="13"/>
      <c r="K3" s="13"/>
      <c r="L3" s="13"/>
      <c r="M3" s="13"/>
      <c r="N3" s="13"/>
      <c r="O3" s="13"/>
      <c r="P3" s="13"/>
      <c r="Q3" s="13"/>
      <c r="R3" s="13"/>
      <c r="S3" s="13"/>
      <c r="T3" s="13"/>
      <c r="U3" s="27">
        <v>0</v>
      </c>
      <c r="V3" s="27">
        <v>130</v>
      </c>
      <c r="W3" s="27">
        <v>225</v>
      </c>
      <c r="AI3" s="27">
        <f t="shared" ref="AI3:AI28" si="1">MIN(U3:AH3)</f>
        <v>0</v>
      </c>
      <c r="AJ3" s="27">
        <f t="shared" ref="AJ3:AJ28" si="2">MAX(U3:AH3)</f>
        <v>225</v>
      </c>
      <c r="AK3" s="27">
        <f t="shared" ref="AK3:AK28" si="3">SUM(U3:AH3)</f>
        <v>355</v>
      </c>
      <c r="AL3" s="27">
        <v>2</v>
      </c>
      <c r="AM3" s="27">
        <f t="shared" ref="AM3:AM28" si="4">AJ3</f>
        <v>225</v>
      </c>
      <c r="AN3" s="45">
        <f t="shared" ref="AN3:AN28" si="5">(AM3-AI3)/(AJ3-AI3)*100</f>
        <v>100</v>
      </c>
      <c r="AP3" s="4" t="s">
        <v>1572</v>
      </c>
      <c r="AQ3" s="4">
        <f>SUM(AJ2:AJ14)</f>
        <v>2335</v>
      </c>
    </row>
    <row r="4" spans="1:43" x14ac:dyDescent="0.3">
      <c r="A4" s="13" t="s">
        <v>1567</v>
      </c>
      <c r="B4" s="27" t="s">
        <v>1573</v>
      </c>
      <c r="C4" s="27">
        <v>22</v>
      </c>
      <c r="D4" s="1" t="s">
        <v>1619</v>
      </c>
      <c r="E4" s="38" t="str">
        <f t="shared" si="0"/>
        <v>Disponibilité-Est-ce que cette application participe à un parcours sensible / critique ? (plusieurs réponses possibles)</v>
      </c>
      <c r="F4" s="15" t="s">
        <v>1569</v>
      </c>
      <c r="G4" s="15" t="s">
        <v>1448</v>
      </c>
      <c r="H4" s="30" t="s">
        <v>1477</v>
      </c>
      <c r="I4" s="30" t="s">
        <v>1478</v>
      </c>
      <c r="J4" s="30" t="s">
        <v>1605</v>
      </c>
      <c r="K4" s="15" t="s">
        <v>1479</v>
      </c>
      <c r="L4" s="15" t="s">
        <v>1694</v>
      </c>
      <c r="M4" s="15" t="s">
        <v>1606</v>
      </c>
      <c r="N4" s="15" t="s">
        <v>1367</v>
      </c>
      <c r="O4" s="32"/>
      <c r="P4" s="32"/>
      <c r="Q4" s="32"/>
      <c r="R4" s="32"/>
      <c r="S4" s="32"/>
      <c r="T4" s="32"/>
      <c r="U4" s="13">
        <v>50</v>
      </c>
      <c r="V4" s="13">
        <v>215</v>
      </c>
      <c r="W4" s="13">
        <v>215</v>
      </c>
      <c r="X4" s="13">
        <v>215</v>
      </c>
      <c r="Y4" s="13">
        <v>215</v>
      </c>
      <c r="Z4" s="13">
        <v>215</v>
      </c>
      <c r="AA4" s="13">
        <v>215</v>
      </c>
      <c r="AB4" s="13">
        <v>0</v>
      </c>
      <c r="AI4" s="27">
        <f t="shared" si="1"/>
        <v>0</v>
      </c>
      <c r="AJ4" s="27">
        <f t="shared" si="2"/>
        <v>215</v>
      </c>
      <c r="AK4" s="27">
        <f t="shared" si="3"/>
        <v>1340</v>
      </c>
      <c r="AL4" s="27">
        <v>3</v>
      </c>
      <c r="AM4" s="27">
        <f t="shared" si="4"/>
        <v>215</v>
      </c>
      <c r="AN4" s="45">
        <f t="shared" si="5"/>
        <v>100</v>
      </c>
      <c r="AO4" s="46" t="s">
        <v>1566</v>
      </c>
      <c r="AP4" s="4" t="s">
        <v>1574</v>
      </c>
      <c r="AQ4" s="4">
        <f>SUM(AM2:AM14)</f>
        <v>2335</v>
      </c>
    </row>
    <row r="5" spans="1:43" x14ac:dyDescent="0.3">
      <c r="A5" s="13" t="s">
        <v>1567</v>
      </c>
      <c r="B5" s="27" t="s">
        <v>1575</v>
      </c>
      <c r="C5" s="27">
        <v>5</v>
      </c>
      <c r="D5" s="12" t="s">
        <v>1521</v>
      </c>
      <c r="E5" s="27" t="str">
        <f t="shared" si="0"/>
        <v>Population-L'application est-elle destinée à des utilisateurs internes ou externes, services internes ou externes ?</v>
      </c>
      <c r="F5" s="13" t="s">
        <v>1576</v>
      </c>
      <c r="G5" s="13" t="s">
        <v>1438</v>
      </c>
      <c r="H5" s="44" t="s">
        <v>1439</v>
      </c>
      <c r="I5" s="44" t="s">
        <v>1440</v>
      </c>
      <c r="J5" s="44"/>
      <c r="K5" s="13"/>
      <c r="L5" s="13"/>
      <c r="M5" s="13"/>
      <c r="N5" s="13"/>
      <c r="O5" s="13"/>
      <c r="P5" s="13"/>
      <c r="Q5" s="13"/>
      <c r="R5" s="13"/>
      <c r="S5" s="13"/>
      <c r="T5" s="13"/>
      <c r="U5" s="27">
        <v>50</v>
      </c>
      <c r="V5" s="27">
        <v>205</v>
      </c>
      <c r="W5" s="27">
        <v>205</v>
      </c>
      <c r="AI5" s="27">
        <f t="shared" si="1"/>
        <v>50</v>
      </c>
      <c r="AJ5" s="27">
        <f t="shared" si="2"/>
        <v>205</v>
      </c>
      <c r="AK5" s="27">
        <f t="shared" si="3"/>
        <v>460</v>
      </c>
      <c r="AL5" s="27">
        <v>4</v>
      </c>
      <c r="AM5" s="27">
        <f t="shared" si="4"/>
        <v>205</v>
      </c>
      <c r="AN5" s="45">
        <f t="shared" si="5"/>
        <v>100</v>
      </c>
      <c r="AP5" s="4" t="s">
        <v>1577</v>
      </c>
      <c r="AQ5" s="47">
        <f>(AQ4-AQ2)/(AQ3-AQ2)*100</f>
        <v>100</v>
      </c>
    </row>
    <row r="6" spans="1:43" x14ac:dyDescent="0.3">
      <c r="A6" s="13" t="s">
        <v>1567</v>
      </c>
      <c r="B6" s="27" t="s">
        <v>1578</v>
      </c>
      <c r="C6" s="27">
        <v>11</v>
      </c>
      <c r="D6" s="77" t="s">
        <v>1380</v>
      </c>
      <c r="E6" s="27" t="str">
        <f t="shared" si="0"/>
        <v>Technique-Quel est le nombre de hits au cours des 12 derniers mois ?</v>
      </c>
      <c r="F6" s="13" t="s">
        <v>1579</v>
      </c>
      <c r="G6" s="48" t="s">
        <v>1451</v>
      </c>
      <c r="H6" s="48" t="s">
        <v>1452</v>
      </c>
      <c r="I6" s="48" t="s">
        <v>1453</v>
      </c>
      <c r="J6" s="48" t="s">
        <v>1454</v>
      </c>
      <c r="K6" s="13"/>
      <c r="L6" s="13"/>
      <c r="M6" s="13"/>
      <c r="N6" s="13"/>
      <c r="O6" s="13"/>
      <c r="P6" s="13"/>
      <c r="Q6" s="13"/>
      <c r="R6" s="13"/>
      <c r="S6" s="13"/>
      <c r="T6" s="13"/>
      <c r="U6" s="27">
        <v>50</v>
      </c>
      <c r="V6" s="27">
        <v>130</v>
      </c>
      <c r="W6" s="27">
        <v>155</v>
      </c>
      <c r="X6" s="27">
        <v>195</v>
      </c>
      <c r="AI6" s="27">
        <f t="shared" si="1"/>
        <v>50</v>
      </c>
      <c r="AJ6" s="27">
        <f t="shared" si="2"/>
        <v>195</v>
      </c>
      <c r="AK6" s="27">
        <f t="shared" si="3"/>
        <v>530</v>
      </c>
      <c r="AL6" s="27">
        <v>5</v>
      </c>
      <c r="AM6" s="27">
        <f t="shared" si="4"/>
        <v>195</v>
      </c>
      <c r="AN6" s="45">
        <f t="shared" si="5"/>
        <v>100</v>
      </c>
    </row>
    <row r="7" spans="1:43" x14ac:dyDescent="0.3">
      <c r="A7" s="13" t="s">
        <v>1567</v>
      </c>
      <c r="B7" s="27" t="s">
        <v>1573</v>
      </c>
      <c r="C7" s="27">
        <v>8</v>
      </c>
      <c r="D7" s="1" t="s">
        <v>1376</v>
      </c>
      <c r="E7" s="27" t="str">
        <f t="shared" si="0"/>
        <v>Disponibilité-Existe-t-il une obligation de conformité réglementaire de l'application ?</v>
      </c>
      <c r="F7" s="13" t="s">
        <v>1569</v>
      </c>
      <c r="G7" s="13" t="s">
        <v>1367</v>
      </c>
      <c r="H7" s="29" t="s">
        <v>1366</v>
      </c>
      <c r="I7" s="44"/>
      <c r="J7" s="44"/>
      <c r="K7" s="13"/>
      <c r="L7" s="13"/>
      <c r="M7" s="13"/>
      <c r="N7" s="13"/>
      <c r="O7" s="13"/>
      <c r="P7" s="13"/>
      <c r="Q7" s="13"/>
      <c r="R7" s="13"/>
      <c r="S7" s="13"/>
      <c r="T7" s="13"/>
      <c r="U7" s="27">
        <v>0</v>
      </c>
      <c r="V7" s="27">
        <v>185</v>
      </c>
      <c r="AI7" s="27">
        <f t="shared" si="1"/>
        <v>0</v>
      </c>
      <c r="AJ7" s="27">
        <f t="shared" si="2"/>
        <v>185</v>
      </c>
      <c r="AK7" s="27">
        <f t="shared" si="3"/>
        <v>185</v>
      </c>
      <c r="AL7" s="27">
        <v>6</v>
      </c>
      <c r="AM7" s="27">
        <f t="shared" si="4"/>
        <v>185</v>
      </c>
      <c r="AN7" s="45">
        <f t="shared" si="5"/>
        <v>100</v>
      </c>
    </row>
    <row r="8" spans="1:43" x14ac:dyDescent="0.3">
      <c r="A8" s="13" t="s">
        <v>1567</v>
      </c>
      <c r="B8" s="27" t="s">
        <v>1575</v>
      </c>
      <c r="C8" s="27">
        <v>6</v>
      </c>
      <c r="D8" s="1" t="s">
        <v>1622</v>
      </c>
      <c r="E8" s="27" t="str">
        <f t="shared" si="0"/>
        <v>Population-Quel est le nombre total d'utilisateurs finaux tous sites confondus ?</v>
      </c>
      <c r="F8" s="13" t="s">
        <v>1569</v>
      </c>
      <c r="G8" s="49" t="s">
        <v>1441</v>
      </c>
      <c r="H8" s="49" t="s">
        <v>1442</v>
      </c>
      <c r="I8" s="49" t="s">
        <v>1443</v>
      </c>
      <c r="J8" s="49" t="s">
        <v>1444</v>
      </c>
      <c r="K8" s="13"/>
      <c r="L8" s="13"/>
      <c r="M8" s="13"/>
      <c r="N8" s="13"/>
      <c r="O8" s="13"/>
      <c r="P8" s="13"/>
      <c r="Q8" s="13"/>
      <c r="R8" s="13"/>
      <c r="S8" s="13"/>
      <c r="T8" s="13"/>
      <c r="U8" s="27">
        <v>10</v>
      </c>
      <c r="V8" s="27">
        <v>110</v>
      </c>
      <c r="W8" s="27">
        <v>135</v>
      </c>
      <c r="X8" s="27">
        <v>175</v>
      </c>
      <c r="AI8" s="27">
        <f t="shared" si="1"/>
        <v>10</v>
      </c>
      <c r="AJ8" s="27">
        <f t="shared" si="2"/>
        <v>175</v>
      </c>
      <c r="AK8" s="27">
        <f t="shared" si="3"/>
        <v>430</v>
      </c>
      <c r="AL8" s="27">
        <v>7</v>
      </c>
      <c r="AM8" s="27">
        <f t="shared" si="4"/>
        <v>175</v>
      </c>
      <c r="AN8" s="45">
        <f t="shared" si="5"/>
        <v>100</v>
      </c>
    </row>
    <row r="9" spans="1:43" x14ac:dyDescent="0.3">
      <c r="A9" s="13" t="s">
        <v>1567</v>
      </c>
      <c r="B9" s="27" t="s">
        <v>1578</v>
      </c>
      <c r="C9" s="27">
        <v>14</v>
      </c>
      <c r="D9" s="50" t="s">
        <v>1384</v>
      </c>
      <c r="E9" s="27" t="str">
        <f t="shared" si="0"/>
        <v>Technique-Cette applications est-elle considérée comme appartenant au domaine d'application "Socle Commun" ?</v>
      </c>
      <c r="F9" s="13" t="s">
        <v>1579</v>
      </c>
      <c r="G9" s="13" t="s">
        <v>1367</v>
      </c>
      <c r="H9" s="13" t="s">
        <v>1366</v>
      </c>
      <c r="I9" s="13"/>
      <c r="J9" s="13"/>
      <c r="K9" s="13"/>
      <c r="L9" s="13"/>
      <c r="M9" s="13"/>
      <c r="N9" s="13"/>
      <c r="O9" s="13"/>
      <c r="P9" s="13"/>
      <c r="Q9" s="13"/>
      <c r="R9" s="13"/>
      <c r="S9" s="13"/>
      <c r="T9" s="13"/>
      <c r="U9" s="27">
        <v>0</v>
      </c>
      <c r="V9" s="27">
        <v>175</v>
      </c>
      <c r="AI9" s="27">
        <f t="shared" si="1"/>
        <v>0</v>
      </c>
      <c r="AJ9" s="27">
        <f t="shared" si="2"/>
        <v>175</v>
      </c>
      <c r="AK9" s="27">
        <f t="shared" si="3"/>
        <v>175</v>
      </c>
      <c r="AL9" s="27">
        <v>8</v>
      </c>
      <c r="AM9" s="27">
        <f t="shared" si="4"/>
        <v>175</v>
      </c>
      <c r="AN9" s="45">
        <f t="shared" si="5"/>
        <v>100</v>
      </c>
    </row>
    <row r="10" spans="1:43" x14ac:dyDescent="0.3">
      <c r="A10" s="13" t="s">
        <v>1567</v>
      </c>
      <c r="B10" s="27" t="s">
        <v>1573</v>
      </c>
      <c r="C10" s="27">
        <v>10</v>
      </c>
      <c r="D10" s="1" t="s">
        <v>1620</v>
      </c>
      <c r="E10" s="27" t="str">
        <f t="shared" si="0"/>
        <v>Disponibilité-Quelle est la plage d'utilisation de l'application ? (si plusieurs, prendre la plus large)</v>
      </c>
      <c r="F10" s="13" t="s">
        <v>1569</v>
      </c>
      <c r="G10" s="15" t="s">
        <v>1448</v>
      </c>
      <c r="H10" s="13" t="s">
        <v>1649</v>
      </c>
      <c r="I10" s="44" t="s">
        <v>1449</v>
      </c>
      <c r="J10" s="30" t="s">
        <v>1450</v>
      </c>
      <c r="K10" s="76" t="s">
        <v>1621</v>
      </c>
      <c r="L10" s="44"/>
      <c r="M10" s="44"/>
      <c r="N10" s="44"/>
      <c r="O10" s="13"/>
      <c r="P10" s="13"/>
      <c r="Q10" s="13"/>
      <c r="R10" s="13"/>
      <c r="S10" s="13"/>
      <c r="T10" s="13"/>
      <c r="U10" s="27">
        <v>50</v>
      </c>
      <c r="V10" s="27">
        <v>80</v>
      </c>
      <c r="W10" s="27">
        <v>115</v>
      </c>
      <c r="X10" s="27">
        <v>165</v>
      </c>
      <c r="Y10" s="27">
        <v>0</v>
      </c>
      <c r="AI10" s="27">
        <f t="shared" si="1"/>
        <v>0</v>
      </c>
      <c r="AJ10" s="27">
        <f t="shared" si="2"/>
        <v>165</v>
      </c>
      <c r="AK10" s="27">
        <f t="shared" si="3"/>
        <v>410</v>
      </c>
      <c r="AL10" s="27">
        <v>9</v>
      </c>
      <c r="AM10" s="27">
        <f t="shared" si="4"/>
        <v>165</v>
      </c>
      <c r="AN10" s="45">
        <f t="shared" si="5"/>
        <v>100</v>
      </c>
    </row>
    <row r="11" spans="1:43" x14ac:dyDescent="0.3">
      <c r="A11" s="13" t="s">
        <v>1567</v>
      </c>
      <c r="B11" s="27" t="s">
        <v>1573</v>
      </c>
      <c r="C11" s="27">
        <v>9</v>
      </c>
      <c r="D11" s="50" t="s">
        <v>1378</v>
      </c>
      <c r="E11" s="27" t="str">
        <f t="shared" si="0"/>
        <v>Disponibilité-Est-ce que l'application doit être remplacée/réecrite à moyen terme (3 ans), à long terme (6 ans)  ?</v>
      </c>
      <c r="F11" s="13" t="s">
        <v>1569</v>
      </c>
      <c r="G11" s="13" t="s">
        <v>1473</v>
      </c>
      <c r="H11" s="44" t="s">
        <v>1447</v>
      </c>
      <c r="I11" s="13" t="s">
        <v>1446</v>
      </c>
      <c r="K11" s="44"/>
      <c r="L11" s="44"/>
      <c r="M11" s="44"/>
      <c r="N11" s="44"/>
      <c r="O11" s="13"/>
      <c r="P11" s="13"/>
      <c r="Q11" s="13"/>
      <c r="R11" s="13"/>
      <c r="S11" s="13"/>
      <c r="T11" s="13"/>
      <c r="U11" s="27">
        <v>0</v>
      </c>
      <c r="V11" s="27">
        <v>70</v>
      </c>
      <c r="W11" s="27">
        <v>155</v>
      </c>
      <c r="AI11" s="27">
        <f t="shared" si="1"/>
        <v>0</v>
      </c>
      <c r="AJ11" s="27">
        <f t="shared" si="2"/>
        <v>155</v>
      </c>
      <c r="AK11" s="27">
        <f t="shared" si="3"/>
        <v>225</v>
      </c>
      <c r="AL11" s="27">
        <v>10</v>
      </c>
      <c r="AM11" s="27">
        <f t="shared" si="4"/>
        <v>155</v>
      </c>
      <c r="AN11" s="45">
        <f t="shared" si="5"/>
        <v>100</v>
      </c>
    </row>
    <row r="12" spans="1:43" x14ac:dyDescent="0.3">
      <c r="A12" s="13" t="s">
        <v>1567</v>
      </c>
      <c r="B12" s="27" t="s">
        <v>1578</v>
      </c>
      <c r="C12" s="27">
        <v>13</v>
      </c>
      <c r="D12" s="50" t="s">
        <v>1522</v>
      </c>
      <c r="E12" s="27" t="str">
        <f t="shared" si="0"/>
        <v>Technique-Quel est le nombre d'évolution sur les 12 derniers mois ? (max évolution RUBIS=188)</v>
      </c>
      <c r="F12" s="13" t="s">
        <v>1579</v>
      </c>
      <c r="G12" s="12" t="s">
        <v>1459</v>
      </c>
      <c r="H12" s="12" t="s">
        <v>1460</v>
      </c>
      <c r="I12" s="12" t="s">
        <v>1461</v>
      </c>
      <c r="J12" s="12" t="s">
        <v>1511</v>
      </c>
      <c r="K12" s="13"/>
      <c r="L12" s="13"/>
      <c r="M12" s="13"/>
      <c r="N12" s="13"/>
      <c r="O12" s="13"/>
      <c r="P12" s="13"/>
      <c r="Q12" s="13"/>
      <c r="R12" s="13"/>
      <c r="S12" s="13"/>
      <c r="T12" s="13"/>
      <c r="U12" s="27">
        <v>30</v>
      </c>
      <c r="V12" s="27">
        <v>70</v>
      </c>
      <c r="W12" s="27">
        <v>95</v>
      </c>
      <c r="X12" s="27">
        <v>145</v>
      </c>
      <c r="AI12" s="27">
        <f t="shared" si="1"/>
        <v>30</v>
      </c>
      <c r="AJ12" s="27">
        <f t="shared" si="2"/>
        <v>145</v>
      </c>
      <c r="AK12" s="27">
        <f t="shared" si="3"/>
        <v>340</v>
      </c>
      <c r="AL12" s="27">
        <v>11</v>
      </c>
      <c r="AM12" s="27">
        <f t="shared" si="4"/>
        <v>145</v>
      </c>
      <c r="AN12" s="45">
        <f t="shared" si="5"/>
        <v>100</v>
      </c>
    </row>
    <row r="13" spans="1:43" x14ac:dyDescent="0.3">
      <c r="A13" s="13" t="s">
        <v>1567</v>
      </c>
      <c r="B13" s="27" t="s">
        <v>1571</v>
      </c>
      <c r="C13" s="27">
        <v>4</v>
      </c>
      <c r="D13" s="50" t="s">
        <v>1373</v>
      </c>
      <c r="E13" s="27" t="str">
        <f t="shared" si="0"/>
        <v>Financier-Le nombre moyen de personnes (ETP) ayant travaillé sur le code au cours des 12 derniers mois ?</v>
      </c>
      <c r="F13" s="13" t="s">
        <v>1579</v>
      </c>
      <c r="G13" s="12" t="s">
        <v>1508</v>
      </c>
      <c r="H13" s="13" t="s">
        <v>1509</v>
      </c>
      <c r="I13" s="13" t="s">
        <v>1460</v>
      </c>
      <c r="J13" s="13" t="s">
        <v>1510</v>
      </c>
      <c r="K13" s="13"/>
      <c r="L13" s="13"/>
      <c r="M13" s="13"/>
      <c r="N13" s="13"/>
      <c r="O13" s="13"/>
      <c r="P13" s="13"/>
      <c r="Q13" s="13"/>
      <c r="R13" s="13"/>
      <c r="S13" s="13"/>
      <c r="T13" s="13"/>
      <c r="U13" s="27">
        <v>20</v>
      </c>
      <c r="V13" s="27">
        <v>60</v>
      </c>
      <c r="W13" s="27">
        <v>85</v>
      </c>
      <c r="X13" s="27">
        <v>135</v>
      </c>
      <c r="AI13" s="27">
        <f t="shared" si="1"/>
        <v>20</v>
      </c>
      <c r="AJ13" s="27">
        <f t="shared" si="2"/>
        <v>135</v>
      </c>
      <c r="AK13" s="27">
        <f t="shared" si="3"/>
        <v>300</v>
      </c>
      <c r="AL13" s="27">
        <v>12</v>
      </c>
      <c r="AM13" s="27">
        <f t="shared" si="4"/>
        <v>135</v>
      </c>
      <c r="AN13" s="45">
        <f t="shared" si="5"/>
        <v>100</v>
      </c>
    </row>
    <row r="14" spans="1:43" x14ac:dyDescent="0.3">
      <c r="A14" s="13" t="s">
        <v>1567</v>
      </c>
      <c r="B14" s="27" t="s">
        <v>1578</v>
      </c>
      <c r="C14" s="27">
        <v>12</v>
      </c>
      <c r="D14" s="12" t="s">
        <v>1382</v>
      </c>
      <c r="E14" s="27" t="str">
        <f t="shared" si="0"/>
        <v>Technique-Le nombre de MEP effectuées au cours des 12 derniers mois ?</v>
      </c>
      <c r="F14" s="13" t="s">
        <v>1579</v>
      </c>
      <c r="G14" s="12" t="s">
        <v>1455</v>
      </c>
      <c r="H14" s="50" t="s">
        <v>1456</v>
      </c>
      <c r="I14" s="12" t="s">
        <v>1457</v>
      </c>
      <c r="J14" s="50" t="s">
        <v>1458</v>
      </c>
      <c r="K14" s="44"/>
      <c r="L14" s="44"/>
      <c r="M14" s="44"/>
      <c r="N14" s="13"/>
      <c r="O14" s="13"/>
      <c r="P14" s="13"/>
      <c r="Q14" s="13"/>
      <c r="R14" s="13"/>
      <c r="S14" s="13"/>
      <c r="T14" s="13"/>
      <c r="U14" s="27">
        <v>10</v>
      </c>
      <c r="V14" s="27">
        <f>U14*5</f>
        <v>50</v>
      </c>
      <c r="W14" s="27">
        <f>U14*7.5</f>
        <v>75</v>
      </c>
      <c r="X14" s="27">
        <v>125</v>
      </c>
      <c r="AI14" s="27">
        <f t="shared" si="1"/>
        <v>10</v>
      </c>
      <c r="AJ14" s="27">
        <f t="shared" si="2"/>
        <v>125</v>
      </c>
      <c r="AK14" s="27">
        <f t="shared" si="3"/>
        <v>260</v>
      </c>
      <c r="AL14" s="27">
        <v>13</v>
      </c>
      <c r="AM14" s="27">
        <f t="shared" si="4"/>
        <v>125</v>
      </c>
      <c r="AN14" s="45">
        <f t="shared" si="5"/>
        <v>100</v>
      </c>
    </row>
    <row r="15" spans="1:43" x14ac:dyDescent="0.3">
      <c r="A15" s="27" t="s">
        <v>1432</v>
      </c>
      <c r="B15" s="27" t="s">
        <v>1578</v>
      </c>
      <c r="C15" s="27">
        <v>24</v>
      </c>
      <c r="D15" s="1" t="s">
        <v>1637</v>
      </c>
      <c r="E15" s="38" t="str">
        <f t="shared" si="0"/>
        <v>Technique-Comment les fonctionnalités de l'application sont-elles exposées aux autres services / applications ? (plusieurs réponses possibles)</v>
      </c>
      <c r="F15" s="21" t="s">
        <v>1569</v>
      </c>
      <c r="G15" s="15" t="s">
        <v>1480</v>
      </c>
      <c r="H15" s="15" t="s">
        <v>1448</v>
      </c>
      <c r="I15" s="63" t="s">
        <v>1596</v>
      </c>
      <c r="J15" s="70" t="s">
        <v>1661</v>
      </c>
      <c r="K15" s="78" t="s">
        <v>1604</v>
      </c>
      <c r="L15" s="15" t="s">
        <v>1481</v>
      </c>
      <c r="M15" s="15" t="s">
        <v>1482</v>
      </c>
      <c r="N15" s="88" t="s">
        <v>1695</v>
      </c>
      <c r="O15" s="21"/>
      <c r="P15" s="21"/>
      <c r="Q15" s="21"/>
      <c r="R15" s="21"/>
      <c r="S15" s="21"/>
      <c r="T15" s="21"/>
      <c r="U15" s="27">
        <v>255</v>
      </c>
      <c r="V15" s="27">
        <v>20</v>
      </c>
      <c r="W15" s="27">
        <v>20</v>
      </c>
      <c r="X15" s="27">
        <v>245</v>
      </c>
      <c r="Y15" s="27">
        <v>255</v>
      </c>
      <c r="Z15" s="27">
        <v>255</v>
      </c>
      <c r="AA15" s="27">
        <v>20</v>
      </c>
      <c r="AB15" s="125">
        <v>20</v>
      </c>
      <c r="AI15" s="27">
        <f t="shared" si="1"/>
        <v>20</v>
      </c>
      <c r="AJ15" s="27">
        <f t="shared" si="2"/>
        <v>255</v>
      </c>
      <c r="AK15" s="27">
        <f t="shared" si="3"/>
        <v>1090</v>
      </c>
      <c r="AL15" s="27">
        <v>1</v>
      </c>
      <c r="AM15" s="27">
        <f t="shared" si="4"/>
        <v>255</v>
      </c>
      <c r="AN15" s="45">
        <f t="shared" si="5"/>
        <v>100</v>
      </c>
      <c r="AO15" s="46" t="s">
        <v>1566</v>
      </c>
      <c r="AP15" s="4" t="s">
        <v>1570</v>
      </c>
      <c r="AQ15" s="4">
        <f>SUM(AI15:AI28)</f>
        <v>110</v>
      </c>
    </row>
    <row r="16" spans="1:43" x14ac:dyDescent="0.3">
      <c r="A16" s="27" t="s">
        <v>1432</v>
      </c>
      <c r="B16" s="27" t="s">
        <v>1580</v>
      </c>
      <c r="C16" s="27">
        <v>21</v>
      </c>
      <c r="D16" s="30" t="s">
        <v>1393</v>
      </c>
      <c r="E16" s="38" t="str">
        <f t="shared" si="0"/>
        <v>Gestion de projet-Est-ce que l'application utilise des technologies cloud ou micro service ?</v>
      </c>
      <c r="F16" s="21" t="s">
        <v>1569</v>
      </c>
      <c r="G16" s="30" t="s">
        <v>1365</v>
      </c>
      <c r="H16" s="30" t="s">
        <v>1462</v>
      </c>
      <c r="I16" s="30" t="s">
        <v>1367</v>
      </c>
      <c r="J16" s="30" t="s">
        <v>1366</v>
      </c>
      <c r="K16" s="15"/>
      <c r="L16" s="31"/>
      <c r="M16" s="31"/>
      <c r="N16" s="21"/>
      <c r="O16" s="21"/>
      <c r="P16" s="21"/>
      <c r="Q16" s="21"/>
      <c r="R16" s="21"/>
      <c r="S16" s="21"/>
      <c r="T16" s="21"/>
      <c r="U16" s="27">
        <v>0</v>
      </c>
      <c r="V16" s="27">
        <v>0</v>
      </c>
      <c r="W16" s="27">
        <v>0</v>
      </c>
      <c r="X16" s="27">
        <v>245</v>
      </c>
      <c r="AI16" s="27">
        <f t="shared" si="1"/>
        <v>0</v>
      </c>
      <c r="AJ16" s="27">
        <f t="shared" si="2"/>
        <v>245</v>
      </c>
      <c r="AK16" s="27">
        <f t="shared" si="3"/>
        <v>245</v>
      </c>
      <c r="AL16" s="27">
        <v>2</v>
      </c>
      <c r="AM16" s="27">
        <f t="shared" si="4"/>
        <v>245</v>
      </c>
      <c r="AN16" s="45">
        <f t="shared" si="5"/>
        <v>100</v>
      </c>
      <c r="AP16" s="4" t="s">
        <v>1572</v>
      </c>
      <c r="AQ16" s="4">
        <f>SUM(AJ15:AJ28)</f>
        <v>2660</v>
      </c>
    </row>
    <row r="17" spans="1:43" x14ac:dyDescent="0.3">
      <c r="A17" s="68" t="s">
        <v>1432</v>
      </c>
      <c r="B17" s="68" t="s">
        <v>1578</v>
      </c>
      <c r="C17" s="68">
        <v>27</v>
      </c>
      <c r="D17" s="1" t="s">
        <v>1628</v>
      </c>
      <c r="E17" s="38" t="str">
        <f t="shared" si="0"/>
        <v>Technique-Quelle est la catégorie de l'application ? (plusieurs réponses possibles)</v>
      </c>
      <c r="F17" s="15" t="s">
        <v>1569</v>
      </c>
      <c r="G17" s="30" t="s">
        <v>1448</v>
      </c>
      <c r="H17" s="74" t="s">
        <v>1629</v>
      </c>
      <c r="I17" s="31" t="s">
        <v>1363</v>
      </c>
      <c r="J17" s="31" t="s">
        <v>156</v>
      </c>
      <c r="K17" s="15" t="s">
        <v>1368</v>
      </c>
      <c r="L17" s="15" t="s">
        <v>1688</v>
      </c>
      <c r="M17" s="15" t="s">
        <v>1687</v>
      </c>
      <c r="N17" s="15" t="s">
        <v>1541</v>
      </c>
      <c r="O17" s="30" t="s">
        <v>1607</v>
      </c>
      <c r="P17" s="124" t="s">
        <v>1678</v>
      </c>
      <c r="Q17" s="30"/>
      <c r="R17" s="30"/>
      <c r="S17" s="30"/>
      <c r="T17" s="30"/>
      <c r="U17" s="27">
        <v>10</v>
      </c>
      <c r="V17" s="27">
        <v>20</v>
      </c>
      <c r="W17" s="27">
        <v>20</v>
      </c>
      <c r="X17" s="27">
        <v>20</v>
      </c>
      <c r="Y17" s="27">
        <v>100</v>
      </c>
      <c r="Z17" s="27">
        <v>100</v>
      </c>
      <c r="AA17" s="27">
        <v>235</v>
      </c>
      <c r="AB17" s="27">
        <v>235</v>
      </c>
      <c r="AC17" s="27">
        <v>30</v>
      </c>
      <c r="AD17" s="125">
        <v>100</v>
      </c>
      <c r="AI17" s="27">
        <f t="shared" si="1"/>
        <v>10</v>
      </c>
      <c r="AJ17" s="27">
        <f t="shared" si="2"/>
        <v>235</v>
      </c>
      <c r="AK17" s="27">
        <f t="shared" si="3"/>
        <v>870</v>
      </c>
      <c r="AL17" s="27">
        <v>3</v>
      </c>
      <c r="AM17" s="27">
        <f t="shared" si="4"/>
        <v>235</v>
      </c>
      <c r="AN17" s="45">
        <f t="shared" si="5"/>
        <v>100</v>
      </c>
      <c r="AO17" s="46" t="s">
        <v>1566</v>
      </c>
      <c r="AP17" s="4" t="s">
        <v>1574</v>
      </c>
      <c r="AQ17" s="4">
        <f>SUM(AM15:AM28)</f>
        <v>2660</v>
      </c>
    </row>
    <row r="18" spans="1:43" x14ac:dyDescent="0.3">
      <c r="A18" s="27" t="s">
        <v>1432</v>
      </c>
      <c r="B18" s="27" t="s">
        <v>1578</v>
      </c>
      <c r="C18" s="27">
        <v>28</v>
      </c>
      <c r="D18" s="14" t="s">
        <v>1524</v>
      </c>
      <c r="E18" s="38" t="str">
        <f t="shared" si="0"/>
        <v xml:space="preserve">Technique-Quelle est l'affinité de l'application pour le cloud ? </v>
      </c>
      <c r="F18" s="21" t="s">
        <v>1569</v>
      </c>
      <c r="G18" s="15" t="s">
        <v>1462</v>
      </c>
      <c r="H18" s="30" t="s">
        <v>1365</v>
      </c>
      <c r="I18" s="15" t="s">
        <v>162</v>
      </c>
      <c r="J18" s="15" t="s">
        <v>1364</v>
      </c>
      <c r="K18" s="15" t="s">
        <v>165</v>
      </c>
      <c r="L18" s="30" t="s">
        <v>1485</v>
      </c>
      <c r="M18" s="41"/>
      <c r="N18" s="13"/>
      <c r="O18" s="13"/>
      <c r="P18" s="13"/>
      <c r="Q18" s="13"/>
      <c r="R18" s="13"/>
      <c r="S18" s="13"/>
      <c r="T18" s="13"/>
      <c r="U18" s="27">
        <v>0</v>
      </c>
      <c r="V18" s="27">
        <v>0</v>
      </c>
      <c r="W18" s="27">
        <v>200</v>
      </c>
      <c r="X18" s="27">
        <v>200</v>
      </c>
      <c r="Y18" s="27">
        <v>225</v>
      </c>
      <c r="Z18" s="27">
        <v>225</v>
      </c>
      <c r="AI18" s="27">
        <f t="shared" si="1"/>
        <v>0</v>
      </c>
      <c r="AJ18" s="27">
        <f t="shared" si="2"/>
        <v>225</v>
      </c>
      <c r="AK18" s="27">
        <f t="shared" si="3"/>
        <v>850</v>
      </c>
      <c r="AL18" s="27">
        <v>4</v>
      </c>
      <c r="AM18" s="27">
        <f t="shared" si="4"/>
        <v>225</v>
      </c>
      <c r="AN18" s="45">
        <f t="shared" si="5"/>
        <v>100</v>
      </c>
      <c r="AP18" s="4" t="s">
        <v>1581</v>
      </c>
      <c r="AQ18" s="47">
        <f>(AQ17-AQ15)/(AQ16-AQ15)*100</f>
        <v>100</v>
      </c>
    </row>
    <row r="19" spans="1:43" x14ac:dyDescent="0.3">
      <c r="A19" s="27" t="s">
        <v>1432</v>
      </c>
      <c r="B19" s="27" t="s">
        <v>1580</v>
      </c>
      <c r="C19" s="27">
        <v>17</v>
      </c>
      <c r="D19" s="14" t="s">
        <v>1523</v>
      </c>
      <c r="E19" s="38" t="str">
        <f t="shared" si="0"/>
        <v xml:space="preserve">Gestion de projet-Quel est le niveau d'automatisation du processus de déploiement ? </v>
      </c>
      <c r="F19" s="21" t="s">
        <v>1569</v>
      </c>
      <c r="G19" s="15" t="s">
        <v>1469</v>
      </c>
      <c r="H19" s="31" t="s">
        <v>1470</v>
      </c>
      <c r="I19" s="28" t="s">
        <v>1651</v>
      </c>
      <c r="J19" s="49" t="s">
        <v>1471</v>
      </c>
      <c r="K19" s="15" t="s">
        <v>1472</v>
      </c>
      <c r="L19" s="13"/>
      <c r="M19" s="21"/>
      <c r="N19" s="21"/>
      <c r="O19" s="21"/>
      <c r="P19" s="21"/>
      <c r="Q19" s="21"/>
      <c r="R19" s="21"/>
      <c r="S19" s="21"/>
      <c r="T19" s="21"/>
      <c r="U19" s="27">
        <v>0</v>
      </c>
      <c r="V19" s="27">
        <v>50</v>
      </c>
      <c r="W19" s="27">
        <v>100</v>
      </c>
      <c r="X19" s="27">
        <v>165</v>
      </c>
      <c r="Y19" s="27">
        <v>215</v>
      </c>
      <c r="AI19" s="27">
        <f t="shared" si="1"/>
        <v>0</v>
      </c>
      <c r="AJ19" s="27">
        <f t="shared" si="2"/>
        <v>215</v>
      </c>
      <c r="AK19" s="27">
        <f t="shared" si="3"/>
        <v>530</v>
      </c>
      <c r="AL19" s="27">
        <v>5</v>
      </c>
      <c r="AM19" s="27">
        <f t="shared" si="4"/>
        <v>215</v>
      </c>
      <c r="AN19" s="45">
        <f t="shared" si="5"/>
        <v>100</v>
      </c>
    </row>
    <row r="20" spans="1:43" x14ac:dyDescent="0.3">
      <c r="A20" s="27" t="s">
        <v>1432</v>
      </c>
      <c r="B20" s="27" t="s">
        <v>1582</v>
      </c>
      <c r="C20" s="27">
        <v>25</v>
      </c>
      <c r="D20" s="1" t="s">
        <v>1635</v>
      </c>
      <c r="E20" s="38" t="str">
        <f t="shared" si="0"/>
        <v>Donnée-Utilisez-vous des fonctions de Machine Learning ou Data Analytics ?</v>
      </c>
      <c r="F20" s="21" t="s">
        <v>1569</v>
      </c>
      <c r="G20" s="72" t="s">
        <v>1462</v>
      </c>
      <c r="H20" s="32" t="s">
        <v>1367</v>
      </c>
      <c r="I20" s="74" t="s">
        <v>1366</v>
      </c>
      <c r="J20" s="15"/>
      <c r="K20" s="15"/>
      <c r="L20" s="12"/>
      <c r="M20" s="15"/>
      <c r="N20" s="21"/>
      <c r="O20" s="21"/>
      <c r="P20" s="21"/>
      <c r="Q20" s="21"/>
      <c r="R20" s="21"/>
      <c r="S20" s="21"/>
      <c r="T20" s="21"/>
      <c r="U20" s="27">
        <v>20</v>
      </c>
      <c r="V20" s="27">
        <v>20</v>
      </c>
      <c r="W20" s="27">
        <v>205</v>
      </c>
      <c r="AI20" s="27">
        <f t="shared" si="1"/>
        <v>20</v>
      </c>
      <c r="AJ20" s="27">
        <f t="shared" si="2"/>
        <v>205</v>
      </c>
      <c r="AK20" s="27">
        <f t="shared" si="3"/>
        <v>245</v>
      </c>
      <c r="AL20" s="27">
        <v>6</v>
      </c>
      <c r="AM20" s="27">
        <f t="shared" si="4"/>
        <v>205</v>
      </c>
      <c r="AN20" s="45">
        <f t="shared" si="5"/>
        <v>100</v>
      </c>
    </row>
    <row r="21" spans="1:43" x14ac:dyDescent="0.3">
      <c r="A21" s="13" t="s">
        <v>1432</v>
      </c>
      <c r="B21" s="27" t="s">
        <v>1578</v>
      </c>
      <c r="C21" s="27">
        <v>16</v>
      </c>
      <c r="D21" s="1" t="s">
        <v>1624</v>
      </c>
      <c r="E21" s="38" t="str">
        <f t="shared" si="0"/>
        <v>Technique-Quelle est la plateforme de déploiement actuelle ? (plusieurs réponses possibles)</v>
      </c>
      <c r="F21" s="21" t="s">
        <v>1569</v>
      </c>
      <c r="G21" s="15" t="s">
        <v>1448</v>
      </c>
      <c r="H21" s="71" t="s">
        <v>1625</v>
      </c>
      <c r="I21" s="31" t="s">
        <v>1465</v>
      </c>
      <c r="J21" s="31" t="s">
        <v>1466</v>
      </c>
      <c r="K21" s="15" t="s">
        <v>1467</v>
      </c>
      <c r="L21" s="69" t="s">
        <v>1626</v>
      </c>
      <c r="M21" s="49" t="s">
        <v>1655</v>
      </c>
      <c r="N21" s="30" t="s">
        <v>1468</v>
      </c>
      <c r="O21" s="88" t="s">
        <v>1681</v>
      </c>
      <c r="P21" s="30"/>
      <c r="Q21" s="30"/>
      <c r="R21" s="30"/>
      <c r="S21" s="30"/>
      <c r="T21" s="30"/>
      <c r="U21" s="13">
        <v>10</v>
      </c>
      <c r="V21" s="13">
        <v>50</v>
      </c>
      <c r="W21" s="13">
        <v>100</v>
      </c>
      <c r="X21" s="13">
        <v>100</v>
      </c>
      <c r="Y21" s="13">
        <v>150</v>
      </c>
      <c r="Z21" s="13">
        <v>150</v>
      </c>
      <c r="AA21" s="13">
        <v>150</v>
      </c>
      <c r="AB21" s="44">
        <v>195</v>
      </c>
      <c r="AC21" s="44">
        <v>50</v>
      </c>
      <c r="AD21" s="44"/>
      <c r="AE21" s="44"/>
      <c r="AF21" s="44"/>
      <c r="AG21" s="44"/>
      <c r="AH21" s="44"/>
      <c r="AI21" s="27">
        <f t="shared" si="1"/>
        <v>10</v>
      </c>
      <c r="AJ21" s="27">
        <f t="shared" si="2"/>
        <v>195</v>
      </c>
      <c r="AK21" s="27">
        <f t="shared" si="3"/>
        <v>955</v>
      </c>
      <c r="AL21" s="13">
        <v>7</v>
      </c>
      <c r="AM21" s="27">
        <f t="shared" si="4"/>
        <v>195</v>
      </c>
      <c r="AN21" s="45">
        <f t="shared" si="5"/>
        <v>100</v>
      </c>
      <c r="AO21" s="46" t="s">
        <v>1566</v>
      </c>
    </row>
    <row r="22" spans="1:43" x14ac:dyDescent="0.3">
      <c r="A22" s="27" t="s">
        <v>1432</v>
      </c>
      <c r="B22" s="27" t="s">
        <v>1583</v>
      </c>
      <c r="C22" s="27">
        <v>30</v>
      </c>
      <c r="D22" s="1" t="s">
        <v>1617</v>
      </c>
      <c r="E22" s="52" t="s">
        <v>1569</v>
      </c>
      <c r="F22" s="21" t="s">
        <v>1569</v>
      </c>
      <c r="G22" s="21" t="s">
        <v>1366</v>
      </c>
      <c r="H22" s="33" t="s">
        <v>1367</v>
      </c>
      <c r="I22" s="13"/>
      <c r="J22" s="13"/>
      <c r="K22" s="13"/>
      <c r="L22" s="13"/>
      <c r="M22" s="9"/>
      <c r="N22" s="9"/>
      <c r="O22" s="9"/>
      <c r="P22" s="9"/>
      <c r="Q22" s="9"/>
      <c r="R22" s="9"/>
      <c r="S22" s="9"/>
      <c r="T22" s="9"/>
      <c r="U22" s="13">
        <v>185</v>
      </c>
      <c r="V22" s="13">
        <v>20</v>
      </c>
      <c r="W22" s="9"/>
      <c r="X22" s="9"/>
      <c r="Y22" s="9"/>
      <c r="Z22" s="9"/>
      <c r="AA22" s="9"/>
      <c r="AB22" s="9"/>
      <c r="AC22" s="9"/>
      <c r="AD22" s="9"/>
      <c r="AE22" s="9"/>
      <c r="AF22" s="9"/>
      <c r="AG22" s="9"/>
      <c r="AH22" s="9"/>
      <c r="AI22" s="27">
        <f t="shared" si="1"/>
        <v>20</v>
      </c>
      <c r="AJ22" s="27">
        <f t="shared" si="2"/>
        <v>185</v>
      </c>
      <c r="AK22" s="27">
        <f t="shared" si="3"/>
        <v>205</v>
      </c>
      <c r="AL22" s="13">
        <v>8</v>
      </c>
      <c r="AM22" s="27">
        <f t="shared" si="4"/>
        <v>185</v>
      </c>
      <c r="AN22" s="45">
        <f t="shared" si="5"/>
        <v>100</v>
      </c>
    </row>
    <row r="23" spans="1:43" x14ac:dyDescent="0.3">
      <c r="A23" s="27" t="s">
        <v>1432</v>
      </c>
      <c r="B23" s="27" t="s">
        <v>1578</v>
      </c>
      <c r="C23" s="27">
        <v>19</v>
      </c>
      <c r="D23" s="14" t="s">
        <v>1390</v>
      </c>
      <c r="E23" s="38" t="str">
        <f t="shared" ref="E23:E28" si="6">B23&amp;"-"&amp;D23</f>
        <v xml:space="preserve">Technique-La base de données open de l'application est-elle dédiée par entité (fédération, banque, guichet, etc…) ? </v>
      </c>
      <c r="F23" s="21" t="s">
        <v>1569</v>
      </c>
      <c r="G23" s="39" t="s">
        <v>1473</v>
      </c>
      <c r="H23" s="49" t="s">
        <v>1679</v>
      </c>
      <c r="I23" s="112" t="s">
        <v>1684</v>
      </c>
      <c r="J23" s="44"/>
      <c r="K23" s="21"/>
      <c r="L23" s="21"/>
      <c r="M23" s="21"/>
      <c r="N23" s="21"/>
      <c r="O23" s="21"/>
      <c r="P23" s="21"/>
      <c r="Q23" s="21"/>
      <c r="R23" s="21"/>
      <c r="S23" s="21"/>
      <c r="T23" s="21"/>
      <c r="U23" s="13">
        <v>175</v>
      </c>
      <c r="V23" s="13">
        <v>175</v>
      </c>
      <c r="W23" s="13">
        <v>20</v>
      </c>
      <c r="X23" s="13"/>
      <c r="Y23" s="13"/>
      <c r="Z23" s="13"/>
      <c r="AA23" s="13"/>
      <c r="AB23" s="13"/>
      <c r="AC23" s="13"/>
      <c r="AD23" s="13"/>
      <c r="AE23" s="13"/>
      <c r="AF23" s="13"/>
      <c r="AG23" s="13"/>
      <c r="AH23" s="13"/>
      <c r="AI23" s="27">
        <f t="shared" si="1"/>
        <v>20</v>
      </c>
      <c r="AJ23" s="27">
        <f t="shared" si="2"/>
        <v>175</v>
      </c>
      <c r="AK23" s="27">
        <f t="shared" si="3"/>
        <v>370</v>
      </c>
      <c r="AL23" s="13">
        <v>9</v>
      </c>
      <c r="AM23" s="27">
        <f t="shared" si="4"/>
        <v>175</v>
      </c>
      <c r="AN23" s="45">
        <f t="shared" si="5"/>
        <v>100</v>
      </c>
    </row>
    <row r="24" spans="1:43" x14ac:dyDescent="0.3">
      <c r="A24" s="27" t="s">
        <v>1432</v>
      </c>
      <c r="B24" s="27" t="s">
        <v>1578</v>
      </c>
      <c r="C24" s="27">
        <v>23</v>
      </c>
      <c r="D24" s="1" t="s">
        <v>1631</v>
      </c>
      <c r="E24" s="38" t="str">
        <f t="shared" si="6"/>
        <v>Technique-Quel est le mécanisme actuel d'authentification (user/mot de passe) des utilisateurs ? (plusieurs réponses possibles)</v>
      </c>
      <c r="F24" s="21" t="s">
        <v>1569</v>
      </c>
      <c r="G24" s="66" t="s">
        <v>1650</v>
      </c>
      <c r="H24" s="15" t="s">
        <v>1448</v>
      </c>
      <c r="I24" s="67" t="s">
        <v>1662</v>
      </c>
      <c r="J24" s="113" t="s">
        <v>1680</v>
      </c>
      <c r="K24" s="15" t="s">
        <v>1686</v>
      </c>
      <c r="L24" s="32" t="s">
        <v>1632</v>
      </c>
      <c r="M24" s="88" t="s">
        <v>1689</v>
      </c>
      <c r="N24" s="88" t="s">
        <v>1691</v>
      </c>
      <c r="O24" s="88" t="s">
        <v>1692</v>
      </c>
      <c r="P24" s="21"/>
      <c r="Q24" s="21"/>
      <c r="R24" s="21"/>
      <c r="S24" s="21"/>
      <c r="T24" s="21"/>
      <c r="U24" s="13">
        <v>0</v>
      </c>
      <c r="V24" s="13">
        <v>10</v>
      </c>
      <c r="W24" s="13">
        <v>20</v>
      </c>
      <c r="X24" s="13">
        <v>115</v>
      </c>
      <c r="Y24" s="13">
        <v>165</v>
      </c>
      <c r="Z24" s="13">
        <v>165</v>
      </c>
      <c r="AA24" s="13">
        <v>50</v>
      </c>
      <c r="AB24" s="13">
        <v>50</v>
      </c>
      <c r="AC24" s="13">
        <v>50</v>
      </c>
      <c r="AD24" s="13"/>
      <c r="AE24" s="13"/>
      <c r="AF24" s="13"/>
      <c r="AG24" s="13"/>
      <c r="AH24" s="13"/>
      <c r="AI24" s="27">
        <f t="shared" si="1"/>
        <v>0</v>
      </c>
      <c r="AJ24" s="27">
        <f t="shared" si="2"/>
        <v>165</v>
      </c>
      <c r="AK24" s="27">
        <f t="shared" si="3"/>
        <v>625</v>
      </c>
      <c r="AL24" s="13">
        <v>10</v>
      </c>
      <c r="AM24" s="27">
        <f t="shared" si="4"/>
        <v>165</v>
      </c>
      <c r="AN24" s="45">
        <f t="shared" si="5"/>
        <v>100</v>
      </c>
      <c r="AO24" s="46" t="s">
        <v>1566</v>
      </c>
    </row>
    <row r="25" spans="1:43" x14ac:dyDescent="0.3">
      <c r="A25" s="27" t="s">
        <v>1432</v>
      </c>
      <c r="B25" s="27" t="s">
        <v>1578</v>
      </c>
      <c r="C25" s="27">
        <v>18</v>
      </c>
      <c r="D25" s="1" t="s">
        <v>1623</v>
      </c>
      <c r="E25" s="38" t="str">
        <f t="shared" si="6"/>
        <v>Technique-L'interface graphique ou l'interface d’entrée de l'application est elle dédiée par entité (fédération, banque, guichet, etc…) ?</v>
      </c>
      <c r="F25" s="21" t="s">
        <v>1569</v>
      </c>
      <c r="G25" s="21" t="s">
        <v>1473</v>
      </c>
      <c r="H25" s="15" t="s">
        <v>1367</v>
      </c>
      <c r="I25" s="67" t="s">
        <v>1660</v>
      </c>
      <c r="J25" s="13"/>
      <c r="K25" s="13"/>
      <c r="L25" s="21"/>
      <c r="M25" s="21"/>
      <c r="N25" s="21"/>
      <c r="O25" s="21"/>
      <c r="P25" s="21"/>
      <c r="Q25" s="21"/>
      <c r="R25" s="21"/>
      <c r="S25" s="21"/>
      <c r="T25" s="21"/>
      <c r="U25" s="13">
        <v>0</v>
      </c>
      <c r="V25" s="13">
        <v>90</v>
      </c>
      <c r="W25" s="13">
        <v>155</v>
      </c>
      <c r="X25" s="13"/>
      <c r="Y25" s="13"/>
      <c r="Z25" s="13"/>
      <c r="AA25" s="13"/>
      <c r="AB25" s="13"/>
      <c r="AC25" s="13"/>
      <c r="AD25" s="13"/>
      <c r="AE25" s="13"/>
      <c r="AF25" s="13"/>
      <c r="AG25" s="13"/>
      <c r="AH25" s="13"/>
      <c r="AI25" s="27">
        <f t="shared" si="1"/>
        <v>0</v>
      </c>
      <c r="AJ25" s="27">
        <f t="shared" si="2"/>
        <v>155</v>
      </c>
      <c r="AK25" s="27">
        <f t="shared" si="3"/>
        <v>245</v>
      </c>
      <c r="AL25" s="13">
        <v>11</v>
      </c>
      <c r="AM25" s="27">
        <f t="shared" si="4"/>
        <v>155</v>
      </c>
      <c r="AN25" s="45">
        <f t="shared" si="5"/>
        <v>100</v>
      </c>
    </row>
    <row r="26" spans="1:43" x14ac:dyDescent="0.3">
      <c r="A26" s="27" t="s">
        <v>1432</v>
      </c>
      <c r="B26" s="27" t="s">
        <v>1578</v>
      </c>
      <c r="C26" s="27">
        <v>20</v>
      </c>
      <c r="D26" s="1" t="s">
        <v>1633</v>
      </c>
      <c r="E26" s="38" t="str">
        <f t="shared" si="6"/>
        <v>Technique-Quel est le moteur de la base de données OPEN (local) de l'application ?  (plusieurs réponses possibles)</v>
      </c>
      <c r="F26" s="21" t="s">
        <v>1569</v>
      </c>
      <c r="G26" s="15" t="s">
        <v>1473</v>
      </c>
      <c r="H26" s="15" t="s">
        <v>1448</v>
      </c>
      <c r="I26" s="15" t="s">
        <v>136</v>
      </c>
      <c r="J26" s="15" t="s">
        <v>1474</v>
      </c>
      <c r="K26" s="15" t="s">
        <v>1475</v>
      </c>
      <c r="L26" s="30" t="s">
        <v>1476</v>
      </c>
      <c r="M26" s="71" t="s">
        <v>1634</v>
      </c>
      <c r="N26" s="88" t="s">
        <v>1685</v>
      </c>
      <c r="O26" s="88" t="s">
        <v>1693</v>
      </c>
      <c r="P26" s="15"/>
      <c r="Q26" s="15"/>
      <c r="R26" s="15"/>
      <c r="S26" s="15"/>
      <c r="T26" s="15"/>
      <c r="U26" s="13">
        <v>145</v>
      </c>
      <c r="V26" s="13">
        <v>10</v>
      </c>
      <c r="W26" s="13">
        <v>75</v>
      </c>
      <c r="X26" s="13">
        <v>75</v>
      </c>
      <c r="Y26" s="13">
        <v>100</v>
      </c>
      <c r="Z26" s="13">
        <v>100</v>
      </c>
      <c r="AA26" s="13">
        <v>135</v>
      </c>
      <c r="AB26" s="125">
        <v>50</v>
      </c>
      <c r="AC26" s="125">
        <v>50</v>
      </c>
      <c r="AD26" s="13"/>
      <c r="AE26" s="13"/>
      <c r="AF26" s="13"/>
      <c r="AG26" s="13"/>
      <c r="AH26" s="13"/>
      <c r="AI26" s="27">
        <f t="shared" si="1"/>
        <v>10</v>
      </c>
      <c r="AJ26" s="27">
        <f t="shared" si="2"/>
        <v>145</v>
      </c>
      <c r="AK26" s="27">
        <f t="shared" si="3"/>
        <v>740</v>
      </c>
      <c r="AL26" s="13">
        <v>12</v>
      </c>
      <c r="AM26" s="27">
        <f t="shared" si="4"/>
        <v>145</v>
      </c>
      <c r="AN26" s="45">
        <f t="shared" si="5"/>
        <v>100</v>
      </c>
      <c r="AO26" s="46" t="s">
        <v>1566</v>
      </c>
    </row>
    <row r="27" spans="1:43" ht="15" customHeight="1" x14ac:dyDescent="0.3">
      <c r="A27" s="13" t="s">
        <v>1432</v>
      </c>
      <c r="B27" s="27" t="s">
        <v>1580</v>
      </c>
      <c r="C27" s="27">
        <v>15</v>
      </c>
      <c r="D27" s="1" t="s">
        <v>1642</v>
      </c>
      <c r="E27" s="38" t="str">
        <f t="shared" si="6"/>
        <v>Gestion de projet-Quelle est la méthode de conduite de projet utilisée pour développer l'application ?</v>
      </c>
      <c r="F27" s="21" t="s">
        <v>1569</v>
      </c>
      <c r="G27" s="15" t="s">
        <v>1462</v>
      </c>
      <c r="H27" s="15" t="s">
        <v>1584</v>
      </c>
      <c r="I27" s="31" t="s">
        <v>1463</v>
      </c>
      <c r="J27" s="31" t="s">
        <v>1464</v>
      </c>
      <c r="K27" s="31"/>
      <c r="L27" s="53"/>
      <c r="M27" s="53"/>
      <c r="N27" s="53"/>
      <c r="O27" s="21"/>
      <c r="P27" s="21"/>
      <c r="Q27" s="21"/>
      <c r="R27" s="21"/>
      <c r="S27" s="21"/>
      <c r="T27" s="21"/>
      <c r="U27" s="13">
        <v>0</v>
      </c>
      <c r="V27" s="13">
        <v>65</v>
      </c>
      <c r="W27" s="13">
        <v>85</v>
      </c>
      <c r="X27" s="13">
        <v>135</v>
      </c>
      <c r="Y27" s="54"/>
      <c r="Z27" s="54"/>
      <c r="AA27" s="54"/>
      <c r="AB27" s="54"/>
      <c r="AC27" s="54"/>
      <c r="AD27" s="54"/>
      <c r="AE27" s="54"/>
      <c r="AF27" s="54"/>
      <c r="AG27" s="54"/>
      <c r="AH27" s="54"/>
      <c r="AI27" s="27">
        <f t="shared" si="1"/>
        <v>0</v>
      </c>
      <c r="AJ27" s="27">
        <f t="shared" si="2"/>
        <v>135</v>
      </c>
      <c r="AK27" s="27">
        <f t="shared" si="3"/>
        <v>285</v>
      </c>
      <c r="AL27" s="13">
        <v>13</v>
      </c>
      <c r="AM27" s="27">
        <f t="shared" si="4"/>
        <v>135</v>
      </c>
      <c r="AN27" s="45">
        <f t="shared" si="5"/>
        <v>100</v>
      </c>
    </row>
    <row r="28" spans="1:43" x14ac:dyDescent="0.3">
      <c r="A28" s="27" t="s">
        <v>1432</v>
      </c>
      <c r="B28" s="27" t="s">
        <v>1578</v>
      </c>
      <c r="C28" s="27">
        <v>29</v>
      </c>
      <c r="D28" s="1" t="s">
        <v>1627</v>
      </c>
      <c r="E28" s="38" t="str">
        <f t="shared" si="6"/>
        <v>Technique-Est-ce que l'application est utilisée sur Sitex, Conso, Presse, Cofpart, Internationale, LSI ou Autorisation ? (plusieurs réponses possibles)</v>
      </c>
      <c r="F28" s="12" t="s">
        <v>1569</v>
      </c>
      <c r="G28" s="15" t="s">
        <v>1462</v>
      </c>
      <c r="H28" s="15" t="s">
        <v>1448</v>
      </c>
      <c r="I28" s="40" t="s">
        <v>1656</v>
      </c>
      <c r="J28" s="40" t="s">
        <v>1657</v>
      </c>
      <c r="K28" s="40" t="s">
        <v>1486</v>
      </c>
      <c r="L28" s="40" t="s">
        <v>1526</v>
      </c>
      <c r="M28" s="40" t="s">
        <v>1487</v>
      </c>
      <c r="N28" s="69" t="s">
        <v>1658</v>
      </c>
      <c r="O28" s="126" t="s">
        <v>1682</v>
      </c>
      <c r="P28" s="40" t="s">
        <v>1663</v>
      </c>
      <c r="Q28" s="40" t="s">
        <v>1610</v>
      </c>
      <c r="R28" s="88" t="s">
        <v>1690</v>
      </c>
      <c r="S28" s="40"/>
      <c r="T28" s="40"/>
      <c r="U28" s="13">
        <v>0</v>
      </c>
      <c r="V28" s="13">
        <v>75</v>
      </c>
      <c r="W28" s="13">
        <v>125</v>
      </c>
      <c r="X28" s="13">
        <v>125</v>
      </c>
      <c r="Y28" s="13">
        <v>50</v>
      </c>
      <c r="Z28" s="13">
        <f t="shared" ref="Z28:AE28" si="7">Y28</f>
        <v>50</v>
      </c>
      <c r="AA28" s="13">
        <f t="shared" si="7"/>
        <v>50</v>
      </c>
      <c r="AB28" s="13">
        <f t="shared" si="7"/>
        <v>50</v>
      </c>
      <c r="AC28" s="44">
        <f t="shared" si="7"/>
        <v>50</v>
      </c>
      <c r="AD28" s="44">
        <v>10</v>
      </c>
      <c r="AE28" s="44">
        <f t="shared" si="7"/>
        <v>10</v>
      </c>
      <c r="AF28" s="44">
        <v>10</v>
      </c>
      <c r="AG28" s="44"/>
      <c r="AH28" s="44"/>
      <c r="AI28" s="27">
        <f t="shared" si="1"/>
        <v>0</v>
      </c>
      <c r="AJ28" s="27">
        <f t="shared" si="2"/>
        <v>125</v>
      </c>
      <c r="AK28" s="27">
        <f t="shared" si="3"/>
        <v>605</v>
      </c>
      <c r="AL28" s="13">
        <v>14</v>
      </c>
      <c r="AM28" s="27">
        <f t="shared" si="4"/>
        <v>125</v>
      </c>
      <c r="AN28" s="45">
        <f t="shared" si="5"/>
        <v>100</v>
      </c>
      <c r="AO28" s="46" t="s">
        <v>1566</v>
      </c>
    </row>
    <row r="29" spans="1:43" s="57" customFormat="1" x14ac:dyDescent="0.3">
      <c r="A29" s="41" t="s">
        <v>1584</v>
      </c>
      <c r="B29" s="41"/>
      <c r="C29" s="41">
        <v>7</v>
      </c>
      <c r="D29" s="1" t="s">
        <v>1630</v>
      </c>
      <c r="E29" s="41"/>
      <c r="F29" s="30" t="s">
        <v>1569</v>
      </c>
      <c r="G29" s="51" t="s">
        <v>1448</v>
      </c>
      <c r="H29" s="51" t="s">
        <v>1533</v>
      </c>
      <c r="I29" s="51" t="s">
        <v>1585</v>
      </c>
      <c r="J29" s="51" t="s">
        <v>1586</v>
      </c>
      <c r="K29" s="51" t="s">
        <v>1587</v>
      </c>
      <c r="L29" s="51" t="s">
        <v>1588</v>
      </c>
      <c r="M29" s="51" t="s">
        <v>1589</v>
      </c>
      <c r="N29" s="25" t="s">
        <v>1590</v>
      </c>
      <c r="O29" s="25" t="s">
        <v>1591</v>
      </c>
      <c r="P29" s="25" t="s">
        <v>1592</v>
      </c>
      <c r="Q29" s="25" t="s">
        <v>1593</v>
      </c>
      <c r="R29" s="25" t="s">
        <v>1594</v>
      </c>
      <c r="S29" s="25" t="s">
        <v>1525</v>
      </c>
      <c r="T29" s="51" t="s">
        <v>1534</v>
      </c>
      <c r="U29" s="50"/>
      <c r="V29" s="50"/>
      <c r="W29" s="50"/>
      <c r="X29" s="50"/>
      <c r="Y29" s="50"/>
      <c r="Z29" s="50"/>
      <c r="AA29" s="50"/>
      <c r="AB29" s="50"/>
      <c r="AC29" s="50"/>
      <c r="AD29" s="50"/>
      <c r="AE29" s="50"/>
      <c r="AF29" s="50"/>
      <c r="AG29" s="50"/>
      <c r="AH29" s="50"/>
      <c r="AI29" s="50"/>
      <c r="AJ29" s="50"/>
      <c r="AK29" s="27"/>
      <c r="AL29" s="50"/>
      <c r="AM29" s="55"/>
      <c r="AN29" s="56"/>
    </row>
    <row r="30" spans="1:43" s="59" customFormat="1" x14ac:dyDescent="0.3">
      <c r="A30" s="41" t="s">
        <v>1584</v>
      </c>
      <c r="B30" s="58"/>
      <c r="C30" s="58">
        <v>31</v>
      </c>
      <c r="D30" s="41" t="s">
        <v>1608</v>
      </c>
      <c r="E30" s="58"/>
      <c r="F30" s="30" t="s">
        <v>1569</v>
      </c>
      <c r="G30" s="42" t="s">
        <v>1548</v>
      </c>
      <c r="H30" s="40" t="s">
        <v>1549</v>
      </c>
      <c r="I30" s="40" t="s">
        <v>1550</v>
      </c>
      <c r="J30" s="40" t="s">
        <v>1551</v>
      </c>
      <c r="K30" s="40" t="s">
        <v>1552</v>
      </c>
      <c r="L30" s="42" t="s">
        <v>1553</v>
      </c>
      <c r="M30" s="40" t="s">
        <v>1483</v>
      </c>
      <c r="N30" s="58"/>
      <c r="O30" s="58"/>
      <c r="P30" s="58"/>
      <c r="Q30" s="58"/>
      <c r="R30" s="58"/>
      <c r="S30" s="58"/>
      <c r="T30" s="40"/>
      <c r="U30" s="50"/>
      <c r="V30" s="50"/>
      <c r="W30" s="50"/>
      <c r="X30" s="50"/>
      <c r="Y30" s="50"/>
      <c r="Z30" s="60"/>
      <c r="AA30" s="60"/>
      <c r="AB30" s="60"/>
      <c r="AC30" s="60"/>
      <c r="AD30" s="60"/>
      <c r="AE30" s="60"/>
      <c r="AF30" s="60"/>
      <c r="AG30" s="60"/>
      <c r="AH30" s="60"/>
      <c r="AI30" s="60"/>
      <c r="AJ30" s="50"/>
      <c r="AK30" s="50"/>
      <c r="AL30" s="50"/>
      <c r="AM30" s="61"/>
      <c r="AN30" s="61"/>
    </row>
    <row r="31" spans="1:43" x14ac:dyDescent="0.3">
      <c r="A31" s="27" t="s">
        <v>1584</v>
      </c>
      <c r="B31" s="27" t="s">
        <v>1580</v>
      </c>
      <c r="C31" s="27">
        <v>26</v>
      </c>
      <c r="D31" s="1" t="s">
        <v>1618</v>
      </c>
      <c r="E31" s="38" t="str">
        <f>B31&amp;"-"&amp;D31</f>
        <v>Gestion de projet-Quel est l'état courant du cycle de vie de l'application ?</v>
      </c>
      <c r="F31" s="15" t="s">
        <v>1569</v>
      </c>
      <c r="G31" s="15" t="s">
        <v>1484</v>
      </c>
      <c r="H31" s="31" t="s">
        <v>1544</v>
      </c>
      <c r="I31" s="15" t="s">
        <v>1609</v>
      </c>
      <c r="J31" s="31" t="s">
        <v>1423</v>
      </c>
      <c r="K31" s="31" t="s">
        <v>1545</v>
      </c>
      <c r="L31" s="31" t="s">
        <v>1546</v>
      </c>
      <c r="M31" s="31" t="s">
        <v>1362</v>
      </c>
      <c r="N31" s="30"/>
      <c r="O31" s="30"/>
      <c r="P31" s="30"/>
      <c r="Q31" s="30"/>
      <c r="R31" s="30"/>
      <c r="S31" s="30"/>
      <c r="T31" s="30"/>
      <c r="AN31" s="45"/>
    </row>
    <row r="32" spans="1:43" x14ac:dyDescent="0.3">
      <c r="A32" s="27" t="s">
        <v>1584</v>
      </c>
      <c r="C32" s="27">
        <v>31</v>
      </c>
      <c r="D32" s="1" t="s">
        <v>1638</v>
      </c>
      <c r="F32" s="32" t="s">
        <v>1569</v>
      </c>
      <c r="G32" s="73" t="s">
        <v>1367</v>
      </c>
      <c r="H32" s="73" t="s">
        <v>1366</v>
      </c>
    </row>
    <row r="33" spans="1:9" x14ac:dyDescent="0.3">
      <c r="A33" s="27" t="s">
        <v>1584</v>
      </c>
      <c r="C33" s="27">
        <v>32</v>
      </c>
      <c r="D33" s="1" t="s">
        <v>1639</v>
      </c>
      <c r="F33" s="32" t="s">
        <v>1569</v>
      </c>
      <c r="G33" s="32" t="s">
        <v>1462</v>
      </c>
      <c r="H33" s="73" t="s">
        <v>1367</v>
      </c>
      <c r="I33" s="75" t="s">
        <v>1445</v>
      </c>
    </row>
    <row r="34" spans="1:9" x14ac:dyDescent="0.3">
      <c r="A34" s="27" t="s">
        <v>1584</v>
      </c>
      <c r="C34" s="27">
        <v>33</v>
      </c>
      <c r="D34" s="1" t="s">
        <v>1640</v>
      </c>
      <c r="F34" s="32" t="s">
        <v>1569</v>
      </c>
      <c r="G34" s="73" t="s">
        <v>1367</v>
      </c>
      <c r="H34" s="75" t="s">
        <v>1445</v>
      </c>
    </row>
    <row r="35" spans="1:9" x14ac:dyDescent="0.3">
      <c r="A35" s="27" t="s">
        <v>1584</v>
      </c>
      <c r="C35" s="27">
        <v>34</v>
      </c>
      <c r="D35" s="1" t="s">
        <v>1641</v>
      </c>
      <c r="F35" s="32" t="s">
        <v>1569</v>
      </c>
      <c r="G35" s="73" t="s">
        <v>1483</v>
      </c>
      <c r="H35" s="73" t="s">
        <v>1367</v>
      </c>
      <c r="I35" s="73" t="s">
        <v>1366</v>
      </c>
    </row>
    <row r="36" spans="1:9" x14ac:dyDescent="0.3">
      <c r="H36" s="37"/>
    </row>
    <row r="37" spans="1:9" x14ac:dyDescent="0.3">
      <c r="H37" s="62"/>
    </row>
    <row r="38" spans="1:9" x14ac:dyDescent="0.3">
      <c r="H38" s="37"/>
    </row>
    <row r="39" spans="1:9" x14ac:dyDescent="0.3">
      <c r="H39" s="37"/>
    </row>
    <row r="40" spans="1:9" x14ac:dyDescent="0.3">
      <c r="H40" s="37"/>
    </row>
    <row r="41" spans="1:9" x14ac:dyDescent="0.3">
      <c r="H41" s="37"/>
    </row>
    <row r="42" spans="1:9" x14ac:dyDescent="0.3">
      <c r="H42" s="37"/>
    </row>
    <row r="43" spans="1:9" x14ac:dyDescent="0.3">
      <c r="H43" s="37"/>
    </row>
    <row r="44" spans="1:9" x14ac:dyDescent="0.3">
      <c r="H44" s="37"/>
    </row>
    <row r="45" spans="1:9" x14ac:dyDescent="0.3">
      <c r="H45" s="37"/>
    </row>
    <row r="46" spans="1:9" x14ac:dyDescent="0.3">
      <c r="H46" s="37"/>
    </row>
    <row r="47" spans="1:9" x14ac:dyDescent="0.3">
      <c r="H47" s="37"/>
    </row>
    <row r="48" spans="1:9" x14ac:dyDescent="0.3">
      <c r="H48" s="37"/>
    </row>
    <row r="49" spans="8:8" x14ac:dyDescent="0.3">
      <c r="H49" s="37"/>
    </row>
  </sheetData>
  <autoFilter ref="A1:AN35"/>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D2303"/>
  <sheetViews>
    <sheetView tabSelected="1" topLeftCell="A89" workbookViewId="0">
      <selection activeCell="C103" sqref="C103:C110"/>
    </sheetView>
  </sheetViews>
  <sheetFormatPr baseColWidth="10" defaultColWidth="9.109375" defaultRowHeight="14.4" x14ac:dyDescent="0.3"/>
  <cols>
    <col min="1" max="1" width="36.109375" customWidth="1" collapsed="1"/>
    <col min="2" max="2" width="7.6640625" bestFit="1" customWidth="1" collapsed="1"/>
    <col min="3" max="3" width="131.5546875" customWidth="1" collapsed="1"/>
    <col min="4" max="4" width="26" customWidth="1" collapsed="1"/>
  </cols>
  <sheetData>
    <row r="2" spans="1:4" x14ac:dyDescent="0.3">
      <c r="A2" t="s">
        <v>142</v>
      </c>
    </row>
    <row r="4" spans="1:4" x14ac:dyDescent="0.3">
      <c r="A4" t="s">
        <v>143</v>
      </c>
      <c r="B4" t="s">
        <v>144</v>
      </c>
      <c r="C4" t="s">
        <v>145</v>
      </c>
      <c r="D4" t="s">
        <v>146</v>
      </c>
    </row>
    <row r="6" spans="1:4" x14ac:dyDescent="0.3">
      <c r="A6" t="s">
        <v>84</v>
      </c>
      <c r="B6">
        <v>100011</v>
      </c>
      <c r="C6" t="s">
        <v>116</v>
      </c>
      <c r="D6" t="s">
        <v>116</v>
      </c>
    </row>
    <row r="7" spans="1:4" x14ac:dyDescent="0.3">
      <c r="A7" t="s">
        <v>84</v>
      </c>
      <c r="B7">
        <v>100011</v>
      </c>
      <c r="C7" t="s">
        <v>147</v>
      </c>
      <c r="D7" t="s">
        <v>147</v>
      </c>
    </row>
    <row r="8" spans="1:4" x14ac:dyDescent="0.3">
      <c r="A8" t="s">
        <v>84</v>
      </c>
      <c r="B8">
        <v>100011</v>
      </c>
      <c r="C8" t="s">
        <v>148</v>
      </c>
      <c r="D8" t="s">
        <v>148</v>
      </c>
    </row>
    <row r="9" spans="1:4" x14ac:dyDescent="0.3">
      <c r="A9" t="s">
        <v>84</v>
      </c>
      <c r="B9">
        <v>100011</v>
      </c>
      <c r="C9" t="s">
        <v>149</v>
      </c>
      <c r="D9" t="s">
        <v>149</v>
      </c>
    </row>
    <row r="10" spans="1:4" x14ac:dyDescent="0.3">
      <c r="A10" t="s">
        <v>84</v>
      </c>
      <c r="B10">
        <v>100011</v>
      </c>
      <c r="C10" t="s">
        <v>150</v>
      </c>
      <c r="D10" t="s">
        <v>150</v>
      </c>
    </row>
    <row r="11" spans="1:4" x14ac:dyDescent="0.3">
      <c r="A11" t="s">
        <v>84</v>
      </c>
      <c r="B11">
        <v>100011</v>
      </c>
      <c r="C11" t="s">
        <v>151</v>
      </c>
      <c r="D11" t="s">
        <v>151</v>
      </c>
    </row>
    <row r="12" spans="1:4" x14ac:dyDescent="0.3">
      <c r="A12" t="s">
        <v>84</v>
      </c>
      <c r="B12">
        <v>100011</v>
      </c>
      <c r="C12" t="s">
        <v>152</v>
      </c>
      <c r="D12" t="s">
        <v>152</v>
      </c>
    </row>
    <row r="13" spans="1:4" x14ac:dyDescent="0.3">
      <c r="A13" t="s">
        <v>85</v>
      </c>
      <c r="B13">
        <v>100012</v>
      </c>
      <c r="C13" t="s">
        <v>153</v>
      </c>
      <c r="D13" t="s">
        <v>153</v>
      </c>
    </row>
    <row r="14" spans="1:4" x14ac:dyDescent="0.3">
      <c r="A14" t="s">
        <v>85</v>
      </c>
      <c r="B14">
        <v>100012</v>
      </c>
      <c r="C14" t="s">
        <v>117</v>
      </c>
      <c r="D14" t="s">
        <v>117</v>
      </c>
    </row>
    <row r="15" spans="1:4" x14ac:dyDescent="0.3">
      <c r="A15" t="s">
        <v>85</v>
      </c>
      <c r="B15">
        <v>100012</v>
      </c>
      <c r="C15" t="s">
        <v>154</v>
      </c>
      <c r="D15" t="s">
        <v>154</v>
      </c>
    </row>
    <row r="16" spans="1:4" x14ac:dyDescent="0.3">
      <c r="A16" t="s">
        <v>85</v>
      </c>
      <c r="B16">
        <v>100012</v>
      </c>
      <c r="C16" t="s">
        <v>155</v>
      </c>
      <c r="D16" t="s">
        <v>155</v>
      </c>
    </row>
    <row r="17" spans="1:4" x14ac:dyDescent="0.3">
      <c r="A17" t="s">
        <v>85</v>
      </c>
      <c r="B17">
        <v>100012</v>
      </c>
      <c r="C17" t="s">
        <v>156</v>
      </c>
      <c r="D17" t="s">
        <v>156</v>
      </c>
    </row>
    <row r="18" spans="1:4" x14ac:dyDescent="0.3">
      <c r="A18" t="s">
        <v>85</v>
      </c>
      <c r="B18">
        <v>100012</v>
      </c>
      <c r="C18" t="s">
        <v>157</v>
      </c>
      <c r="D18" t="s">
        <v>157</v>
      </c>
    </row>
    <row r="19" spans="1:4" x14ac:dyDescent="0.3">
      <c r="A19" t="s">
        <v>85</v>
      </c>
      <c r="B19">
        <v>100012</v>
      </c>
      <c r="C19" t="s">
        <v>152</v>
      </c>
      <c r="D19" t="s">
        <v>152</v>
      </c>
    </row>
    <row r="20" spans="1:4" x14ac:dyDescent="0.3">
      <c r="A20" t="s">
        <v>85</v>
      </c>
      <c r="B20">
        <v>100012</v>
      </c>
      <c r="C20" t="s">
        <v>158</v>
      </c>
      <c r="D20" t="s">
        <v>158</v>
      </c>
    </row>
    <row r="21" spans="1:4" x14ac:dyDescent="0.3">
      <c r="A21" t="s">
        <v>85</v>
      </c>
      <c r="B21">
        <v>100012</v>
      </c>
      <c r="C21" t="s">
        <v>159</v>
      </c>
      <c r="D21" t="s">
        <v>159</v>
      </c>
    </row>
    <row r="22" spans="1:4" x14ac:dyDescent="0.3">
      <c r="A22" t="s">
        <v>85</v>
      </c>
      <c r="B22">
        <v>100012</v>
      </c>
      <c r="C22" t="s">
        <v>160</v>
      </c>
      <c r="D22" t="s">
        <v>160</v>
      </c>
    </row>
    <row r="23" spans="1:4" x14ac:dyDescent="0.3">
      <c r="A23" t="s">
        <v>85</v>
      </c>
      <c r="B23">
        <v>100012</v>
      </c>
      <c r="C23" t="s">
        <v>161</v>
      </c>
      <c r="D23" t="s">
        <v>161</v>
      </c>
    </row>
    <row r="24" spans="1:4" x14ac:dyDescent="0.3">
      <c r="A24" t="s">
        <v>85</v>
      </c>
      <c r="B24">
        <v>100012</v>
      </c>
      <c r="C24" t="s">
        <v>162</v>
      </c>
      <c r="D24" t="s">
        <v>162</v>
      </c>
    </row>
    <row r="25" spans="1:4" x14ac:dyDescent="0.3">
      <c r="A25" t="s">
        <v>85</v>
      </c>
      <c r="B25">
        <v>100012</v>
      </c>
      <c r="C25" t="s">
        <v>163</v>
      </c>
      <c r="D25" t="s">
        <v>163</v>
      </c>
    </row>
    <row r="26" spans="1:4" x14ac:dyDescent="0.3">
      <c r="A26" t="s">
        <v>85</v>
      </c>
      <c r="B26">
        <v>100012</v>
      </c>
      <c r="C26" t="s">
        <v>164</v>
      </c>
      <c r="D26" t="s">
        <v>164</v>
      </c>
    </row>
    <row r="27" spans="1:4" x14ac:dyDescent="0.3">
      <c r="A27" t="s">
        <v>85</v>
      </c>
      <c r="B27">
        <v>100012</v>
      </c>
      <c r="C27" t="s">
        <v>165</v>
      </c>
      <c r="D27" t="s">
        <v>165</v>
      </c>
    </row>
    <row r="28" spans="1:4" x14ac:dyDescent="0.3">
      <c r="A28" t="s">
        <v>85</v>
      </c>
      <c r="B28">
        <v>100012</v>
      </c>
      <c r="C28" t="s">
        <v>166</v>
      </c>
      <c r="D28" t="s">
        <v>166</v>
      </c>
    </row>
    <row r="29" spans="1:4" x14ac:dyDescent="0.3">
      <c r="A29" t="s">
        <v>85</v>
      </c>
      <c r="B29">
        <v>100012</v>
      </c>
      <c r="C29" t="s">
        <v>167</v>
      </c>
      <c r="D29" t="s">
        <v>167</v>
      </c>
    </row>
    <row r="30" spans="1:4" x14ac:dyDescent="0.3">
      <c r="A30" t="s">
        <v>85</v>
      </c>
      <c r="B30">
        <v>100012</v>
      </c>
      <c r="C30" t="s">
        <v>168</v>
      </c>
      <c r="D30" t="s">
        <v>168</v>
      </c>
    </row>
    <row r="31" spans="1:4" x14ac:dyDescent="0.3">
      <c r="A31" t="s">
        <v>85</v>
      </c>
      <c r="B31">
        <v>100012</v>
      </c>
      <c r="C31" t="s">
        <v>169</v>
      </c>
      <c r="D31" t="s">
        <v>169</v>
      </c>
    </row>
    <row r="32" spans="1:4" x14ac:dyDescent="0.3">
      <c r="A32" t="s">
        <v>85</v>
      </c>
      <c r="B32">
        <v>100012</v>
      </c>
      <c r="C32" t="s">
        <v>170</v>
      </c>
      <c r="D32" t="s">
        <v>170</v>
      </c>
    </row>
    <row r="33" spans="1:4" x14ac:dyDescent="0.3">
      <c r="A33" t="s">
        <v>85</v>
      </c>
      <c r="B33">
        <v>100012</v>
      </c>
      <c r="C33" t="s">
        <v>171</v>
      </c>
      <c r="D33" t="s">
        <v>171</v>
      </c>
    </row>
    <row r="34" spans="1:4" x14ac:dyDescent="0.3">
      <c r="A34" t="s">
        <v>85</v>
      </c>
      <c r="B34">
        <v>100012</v>
      </c>
      <c r="C34" t="s">
        <v>172</v>
      </c>
      <c r="D34" t="s">
        <v>172</v>
      </c>
    </row>
    <row r="35" spans="1:4" x14ac:dyDescent="0.3">
      <c r="A35" t="s">
        <v>173</v>
      </c>
      <c r="B35">
        <v>100013</v>
      </c>
      <c r="C35" t="s">
        <v>122</v>
      </c>
      <c r="D35" t="s">
        <v>122</v>
      </c>
    </row>
    <row r="36" spans="1:4" x14ac:dyDescent="0.3">
      <c r="A36" t="s">
        <v>173</v>
      </c>
      <c r="B36">
        <v>100013</v>
      </c>
      <c r="C36" t="s">
        <v>124</v>
      </c>
      <c r="D36" t="s">
        <v>124</v>
      </c>
    </row>
    <row r="37" spans="1:4" x14ac:dyDescent="0.3">
      <c r="A37" t="s">
        <v>173</v>
      </c>
      <c r="B37">
        <v>100013</v>
      </c>
      <c r="C37" t="s">
        <v>119</v>
      </c>
      <c r="D37" t="s">
        <v>119</v>
      </c>
    </row>
    <row r="38" spans="1:4" x14ac:dyDescent="0.3">
      <c r="A38" t="s">
        <v>173</v>
      </c>
      <c r="B38">
        <v>100013</v>
      </c>
      <c r="C38" t="s">
        <v>174</v>
      </c>
      <c r="D38" t="s">
        <v>174</v>
      </c>
    </row>
    <row r="39" spans="1:4" x14ac:dyDescent="0.3">
      <c r="A39" t="s">
        <v>173</v>
      </c>
      <c r="B39">
        <v>100013</v>
      </c>
      <c r="C39" t="s">
        <v>175</v>
      </c>
      <c r="D39" t="s">
        <v>175</v>
      </c>
    </row>
    <row r="40" spans="1:4" x14ac:dyDescent="0.3">
      <c r="A40" t="s">
        <v>173</v>
      </c>
      <c r="B40">
        <v>100013</v>
      </c>
      <c r="C40" t="s">
        <v>176</v>
      </c>
      <c r="D40" t="s">
        <v>176</v>
      </c>
    </row>
    <row r="41" spans="1:4" x14ac:dyDescent="0.3">
      <c r="A41" t="s">
        <v>173</v>
      </c>
      <c r="B41">
        <v>100013</v>
      </c>
      <c r="C41" t="s">
        <v>177</v>
      </c>
      <c r="D41" t="s">
        <v>177</v>
      </c>
    </row>
    <row r="42" spans="1:4" x14ac:dyDescent="0.3">
      <c r="A42" t="s">
        <v>89</v>
      </c>
      <c r="B42">
        <v>100015</v>
      </c>
      <c r="C42" t="s">
        <v>178</v>
      </c>
      <c r="D42" t="s">
        <v>178</v>
      </c>
    </row>
    <row r="43" spans="1:4" x14ac:dyDescent="0.3">
      <c r="A43" t="s">
        <v>89</v>
      </c>
      <c r="B43">
        <v>100015</v>
      </c>
      <c r="C43" t="s">
        <v>122</v>
      </c>
      <c r="D43" t="s">
        <v>122</v>
      </c>
    </row>
    <row r="44" spans="1:4" x14ac:dyDescent="0.3">
      <c r="A44" t="s">
        <v>89</v>
      </c>
      <c r="B44">
        <v>100015</v>
      </c>
      <c r="C44" t="s">
        <v>124</v>
      </c>
      <c r="D44" t="s">
        <v>124</v>
      </c>
    </row>
    <row r="45" spans="1:4" x14ac:dyDescent="0.3">
      <c r="A45" t="s">
        <v>89</v>
      </c>
      <c r="B45">
        <v>100015</v>
      </c>
      <c r="C45" t="s">
        <v>119</v>
      </c>
      <c r="D45" t="s">
        <v>119</v>
      </c>
    </row>
    <row r="46" spans="1:4" x14ac:dyDescent="0.3">
      <c r="A46" t="s">
        <v>89</v>
      </c>
      <c r="B46">
        <v>100015</v>
      </c>
      <c r="C46" t="s">
        <v>179</v>
      </c>
      <c r="D46" t="s">
        <v>179</v>
      </c>
    </row>
    <row r="47" spans="1:4" x14ac:dyDescent="0.3">
      <c r="A47" t="s">
        <v>180</v>
      </c>
      <c r="B47">
        <v>100017</v>
      </c>
      <c r="C47" t="s">
        <v>178</v>
      </c>
      <c r="D47" t="s">
        <v>178</v>
      </c>
    </row>
    <row r="48" spans="1:4" x14ac:dyDescent="0.3">
      <c r="A48" t="s">
        <v>180</v>
      </c>
      <c r="B48">
        <v>100017</v>
      </c>
      <c r="C48" t="s">
        <v>122</v>
      </c>
      <c r="D48" t="s">
        <v>122</v>
      </c>
    </row>
    <row r="49" spans="1:4" x14ac:dyDescent="0.3">
      <c r="A49" t="s">
        <v>180</v>
      </c>
      <c r="B49">
        <v>100017</v>
      </c>
      <c r="C49" t="s">
        <v>124</v>
      </c>
      <c r="D49" t="s">
        <v>124</v>
      </c>
    </row>
    <row r="50" spans="1:4" x14ac:dyDescent="0.3">
      <c r="A50" t="s">
        <v>180</v>
      </c>
      <c r="B50">
        <v>100017</v>
      </c>
      <c r="C50" t="s">
        <v>119</v>
      </c>
      <c r="D50" t="s">
        <v>119</v>
      </c>
    </row>
    <row r="51" spans="1:4" x14ac:dyDescent="0.3">
      <c r="A51" t="s">
        <v>180</v>
      </c>
      <c r="B51">
        <v>100017</v>
      </c>
      <c r="C51" t="s">
        <v>123</v>
      </c>
      <c r="D51" t="s">
        <v>123</v>
      </c>
    </row>
    <row r="52" spans="1:4" x14ac:dyDescent="0.3">
      <c r="A52" t="s">
        <v>102</v>
      </c>
      <c r="B52">
        <v>100018</v>
      </c>
      <c r="C52" t="s">
        <v>181</v>
      </c>
      <c r="D52" t="s">
        <v>181</v>
      </c>
    </row>
    <row r="53" spans="1:4" x14ac:dyDescent="0.3">
      <c r="A53" t="s">
        <v>102</v>
      </c>
      <c r="B53">
        <v>100018</v>
      </c>
      <c r="C53" t="s">
        <v>182</v>
      </c>
      <c r="D53" t="s">
        <v>182</v>
      </c>
    </row>
    <row r="54" spans="1:4" x14ac:dyDescent="0.3">
      <c r="A54" t="s">
        <v>102</v>
      </c>
      <c r="B54">
        <v>100018</v>
      </c>
      <c r="C54" t="s">
        <v>183</v>
      </c>
      <c r="D54" t="s">
        <v>183</v>
      </c>
    </row>
    <row r="55" spans="1:4" x14ac:dyDescent="0.3">
      <c r="A55" t="s">
        <v>102</v>
      </c>
      <c r="B55">
        <v>100018</v>
      </c>
      <c r="C55" t="s">
        <v>184</v>
      </c>
      <c r="D55" t="s">
        <v>184</v>
      </c>
    </row>
    <row r="56" spans="1:4" x14ac:dyDescent="0.3">
      <c r="A56" t="s">
        <v>102</v>
      </c>
      <c r="B56">
        <v>100018</v>
      </c>
      <c r="C56" t="s">
        <v>185</v>
      </c>
      <c r="D56" t="s">
        <v>185</v>
      </c>
    </row>
    <row r="57" spans="1:4" x14ac:dyDescent="0.3">
      <c r="A57" t="s">
        <v>102</v>
      </c>
      <c r="B57">
        <v>100018</v>
      </c>
      <c r="C57" t="s">
        <v>186</v>
      </c>
      <c r="D57" t="s">
        <v>186</v>
      </c>
    </row>
    <row r="58" spans="1:4" x14ac:dyDescent="0.3">
      <c r="A58" t="s">
        <v>187</v>
      </c>
      <c r="B58">
        <v>100020</v>
      </c>
      <c r="C58" t="s">
        <v>188</v>
      </c>
      <c r="D58" t="s">
        <v>188</v>
      </c>
    </row>
    <row r="59" spans="1:4" x14ac:dyDescent="0.3">
      <c r="A59" t="s">
        <v>187</v>
      </c>
      <c r="B59">
        <v>100020</v>
      </c>
      <c r="C59" t="s">
        <v>189</v>
      </c>
      <c r="D59" t="s">
        <v>189</v>
      </c>
    </row>
    <row r="60" spans="1:4" x14ac:dyDescent="0.3">
      <c r="A60" t="s">
        <v>187</v>
      </c>
      <c r="B60">
        <v>100020</v>
      </c>
      <c r="C60" t="s">
        <v>190</v>
      </c>
      <c r="D60" t="s">
        <v>190</v>
      </c>
    </row>
    <row r="61" spans="1:4" x14ac:dyDescent="0.3">
      <c r="A61" t="s">
        <v>187</v>
      </c>
      <c r="B61">
        <v>100020</v>
      </c>
      <c r="C61" t="s">
        <v>191</v>
      </c>
      <c r="D61" t="s">
        <v>191</v>
      </c>
    </row>
    <row r="62" spans="1:4" x14ac:dyDescent="0.3">
      <c r="A62" t="s">
        <v>104</v>
      </c>
      <c r="B62">
        <v>100022</v>
      </c>
      <c r="C62" t="s">
        <v>192</v>
      </c>
      <c r="D62" t="s">
        <v>192</v>
      </c>
    </row>
    <row r="63" spans="1:4" x14ac:dyDescent="0.3">
      <c r="A63" t="s">
        <v>104</v>
      </c>
      <c r="B63">
        <v>100022</v>
      </c>
      <c r="C63" t="s">
        <v>119</v>
      </c>
      <c r="D63" t="s">
        <v>119</v>
      </c>
    </row>
    <row r="64" spans="1:4" x14ac:dyDescent="0.3">
      <c r="A64" t="s">
        <v>104</v>
      </c>
      <c r="B64">
        <v>100022</v>
      </c>
      <c r="C64" t="s">
        <v>124</v>
      </c>
      <c r="D64" t="s">
        <v>124</v>
      </c>
    </row>
    <row r="65" spans="1:4" x14ac:dyDescent="0.3">
      <c r="A65" t="s">
        <v>104</v>
      </c>
      <c r="B65">
        <v>100022</v>
      </c>
      <c r="C65" t="s">
        <v>122</v>
      </c>
      <c r="D65" t="s">
        <v>122</v>
      </c>
    </row>
    <row r="66" spans="1:4" x14ac:dyDescent="0.3">
      <c r="A66" t="s">
        <v>104</v>
      </c>
      <c r="B66">
        <v>100022</v>
      </c>
      <c r="C66" t="s">
        <v>178</v>
      </c>
      <c r="D66" t="s">
        <v>178</v>
      </c>
    </row>
    <row r="67" spans="1:4" x14ac:dyDescent="0.3">
      <c r="A67" t="s">
        <v>93</v>
      </c>
      <c r="B67">
        <v>100023</v>
      </c>
      <c r="C67" t="s">
        <v>121</v>
      </c>
      <c r="D67" t="s">
        <v>121</v>
      </c>
    </row>
    <row r="68" spans="1:4" x14ac:dyDescent="0.3">
      <c r="A68" t="s">
        <v>93</v>
      </c>
      <c r="B68">
        <v>100023</v>
      </c>
      <c r="C68" t="s">
        <v>120</v>
      </c>
      <c r="D68" t="s">
        <v>120</v>
      </c>
    </row>
    <row r="69" spans="1:4" x14ac:dyDescent="0.3">
      <c r="A69" t="s">
        <v>94</v>
      </c>
      <c r="B69">
        <v>100024</v>
      </c>
      <c r="C69" t="s">
        <v>121</v>
      </c>
      <c r="D69" t="s">
        <v>121</v>
      </c>
    </row>
    <row r="70" spans="1:4" x14ac:dyDescent="0.3">
      <c r="A70" t="s">
        <v>94</v>
      </c>
      <c r="B70">
        <v>100024</v>
      </c>
      <c r="C70" t="s">
        <v>120</v>
      </c>
      <c r="D70" t="s">
        <v>120</v>
      </c>
    </row>
    <row r="71" spans="1:4" x14ac:dyDescent="0.3">
      <c r="A71" t="s">
        <v>95</v>
      </c>
      <c r="B71">
        <v>100025</v>
      </c>
      <c r="C71" t="s">
        <v>121</v>
      </c>
      <c r="D71" t="s">
        <v>121</v>
      </c>
    </row>
    <row r="72" spans="1:4" x14ac:dyDescent="0.3">
      <c r="A72" t="s">
        <v>95</v>
      </c>
      <c r="B72">
        <v>100025</v>
      </c>
      <c r="C72" t="s">
        <v>120</v>
      </c>
      <c r="D72" t="s">
        <v>120</v>
      </c>
    </row>
    <row r="73" spans="1:4" x14ac:dyDescent="0.3">
      <c r="A73" t="s">
        <v>108</v>
      </c>
      <c r="B73">
        <v>100026</v>
      </c>
      <c r="C73" t="s">
        <v>122</v>
      </c>
      <c r="D73" t="s">
        <v>122</v>
      </c>
    </row>
    <row r="74" spans="1:4" x14ac:dyDescent="0.3">
      <c r="A74" t="s">
        <v>108</v>
      </c>
      <c r="B74">
        <v>100026</v>
      </c>
      <c r="C74" t="s">
        <v>124</v>
      </c>
      <c r="D74" t="s">
        <v>124</v>
      </c>
    </row>
    <row r="75" spans="1:4" x14ac:dyDescent="0.3">
      <c r="A75" t="s">
        <v>108</v>
      </c>
      <c r="B75">
        <v>100026</v>
      </c>
      <c r="C75" t="s">
        <v>193</v>
      </c>
      <c r="D75" t="s">
        <v>193</v>
      </c>
    </row>
    <row r="76" spans="1:4" x14ac:dyDescent="0.3">
      <c r="A76" t="s">
        <v>96</v>
      </c>
      <c r="B76">
        <v>100027</v>
      </c>
      <c r="C76" t="s">
        <v>194</v>
      </c>
      <c r="D76" t="s">
        <v>194</v>
      </c>
    </row>
    <row r="77" spans="1:4" x14ac:dyDescent="0.3">
      <c r="A77" t="s">
        <v>96</v>
      </c>
      <c r="B77">
        <v>100027</v>
      </c>
      <c r="C77" t="s">
        <v>195</v>
      </c>
      <c r="D77" t="s">
        <v>195</v>
      </c>
    </row>
    <row r="78" spans="1:4" x14ac:dyDescent="0.3">
      <c r="A78" t="s">
        <v>96</v>
      </c>
      <c r="B78">
        <v>100027</v>
      </c>
      <c r="C78" t="s">
        <v>196</v>
      </c>
      <c r="D78" t="s">
        <v>196</v>
      </c>
    </row>
    <row r="79" spans="1:4" x14ac:dyDescent="0.3">
      <c r="A79" t="s">
        <v>96</v>
      </c>
      <c r="B79">
        <v>100027</v>
      </c>
      <c r="C79" t="s">
        <v>197</v>
      </c>
      <c r="D79" t="s">
        <v>197</v>
      </c>
    </row>
    <row r="80" spans="1:4" x14ac:dyDescent="0.3">
      <c r="A80" t="s">
        <v>96</v>
      </c>
      <c r="B80">
        <v>100027</v>
      </c>
      <c r="C80" t="s">
        <v>198</v>
      </c>
      <c r="D80" t="s">
        <v>198</v>
      </c>
    </row>
    <row r="81" spans="1:4" x14ac:dyDescent="0.3">
      <c r="A81" t="s">
        <v>199</v>
      </c>
      <c r="B81">
        <v>100028</v>
      </c>
      <c r="C81" t="s">
        <v>121</v>
      </c>
      <c r="D81" t="s">
        <v>121</v>
      </c>
    </row>
    <row r="82" spans="1:4" x14ac:dyDescent="0.3">
      <c r="A82" t="s">
        <v>199</v>
      </c>
      <c r="B82">
        <v>100028</v>
      </c>
      <c r="C82" t="s">
        <v>120</v>
      </c>
      <c r="D82" t="s">
        <v>120</v>
      </c>
    </row>
    <row r="83" spans="1:4" x14ac:dyDescent="0.3">
      <c r="A83" t="s">
        <v>200</v>
      </c>
      <c r="B83">
        <v>100029</v>
      </c>
      <c r="C83" t="s">
        <v>121</v>
      </c>
      <c r="D83" t="s">
        <v>121</v>
      </c>
    </row>
    <row r="84" spans="1:4" x14ac:dyDescent="0.3">
      <c r="A84" t="s">
        <v>200</v>
      </c>
      <c r="B84">
        <v>100029</v>
      </c>
      <c r="C84" t="s">
        <v>120</v>
      </c>
      <c r="D84" t="s">
        <v>120</v>
      </c>
    </row>
    <row r="85" spans="1:4" x14ac:dyDescent="0.3">
      <c r="A85" t="s">
        <v>109</v>
      </c>
      <c r="B85">
        <v>100030</v>
      </c>
      <c r="C85" t="s">
        <v>121</v>
      </c>
      <c r="D85" t="s">
        <v>121</v>
      </c>
    </row>
    <row r="86" spans="1:4" x14ac:dyDescent="0.3">
      <c r="A86" t="s">
        <v>109</v>
      </c>
      <c r="B86">
        <v>100030</v>
      </c>
      <c r="C86" t="s">
        <v>120</v>
      </c>
      <c r="D86" t="s">
        <v>120</v>
      </c>
    </row>
    <row r="87" spans="1:4" x14ac:dyDescent="0.3">
      <c r="A87" t="s">
        <v>110</v>
      </c>
      <c r="B87">
        <v>100031</v>
      </c>
      <c r="C87" t="s">
        <v>121</v>
      </c>
      <c r="D87" t="s">
        <v>121</v>
      </c>
    </row>
    <row r="88" spans="1:4" x14ac:dyDescent="0.3">
      <c r="A88" t="s">
        <v>110</v>
      </c>
      <c r="B88">
        <v>100031</v>
      </c>
      <c r="C88" t="s">
        <v>120</v>
      </c>
      <c r="D88" t="s">
        <v>120</v>
      </c>
    </row>
    <row r="89" spans="1:4" x14ac:dyDescent="0.3">
      <c r="A89" t="s">
        <v>98</v>
      </c>
      <c r="B89">
        <v>100032</v>
      </c>
      <c r="C89" t="s">
        <v>121</v>
      </c>
      <c r="D89" t="s">
        <v>121</v>
      </c>
    </row>
    <row r="90" spans="1:4" x14ac:dyDescent="0.3">
      <c r="A90" t="s">
        <v>98</v>
      </c>
      <c r="B90">
        <v>100032</v>
      </c>
      <c r="C90" t="s">
        <v>120</v>
      </c>
      <c r="D90" t="s">
        <v>120</v>
      </c>
    </row>
    <row r="91" spans="1:4" x14ac:dyDescent="0.3">
      <c r="A91" t="s">
        <v>111</v>
      </c>
      <c r="B91">
        <v>100033</v>
      </c>
      <c r="C91" t="s">
        <v>121</v>
      </c>
      <c r="D91" t="s">
        <v>121</v>
      </c>
    </row>
    <row r="92" spans="1:4" x14ac:dyDescent="0.3">
      <c r="A92" t="s">
        <v>111</v>
      </c>
      <c r="B92">
        <v>100033</v>
      </c>
      <c r="C92" t="s">
        <v>120</v>
      </c>
      <c r="D92" t="s">
        <v>120</v>
      </c>
    </row>
    <row r="93" spans="1:4" x14ac:dyDescent="0.3">
      <c r="A93" t="s">
        <v>201</v>
      </c>
      <c r="B93">
        <v>100041</v>
      </c>
      <c r="C93" t="s">
        <v>178</v>
      </c>
      <c r="D93" t="s">
        <v>178</v>
      </c>
    </row>
    <row r="94" spans="1:4" x14ac:dyDescent="0.3">
      <c r="A94" t="s">
        <v>201</v>
      </c>
      <c r="B94">
        <v>100041</v>
      </c>
      <c r="C94" t="s">
        <v>122</v>
      </c>
      <c r="D94" t="s">
        <v>122</v>
      </c>
    </row>
    <row r="95" spans="1:4" x14ac:dyDescent="0.3">
      <c r="A95" t="s">
        <v>201</v>
      </c>
      <c r="B95">
        <v>100041</v>
      </c>
      <c r="C95" t="s">
        <v>124</v>
      </c>
      <c r="D95" t="s">
        <v>124</v>
      </c>
    </row>
    <row r="96" spans="1:4" x14ac:dyDescent="0.3">
      <c r="A96" t="s">
        <v>201</v>
      </c>
      <c r="B96">
        <v>100041</v>
      </c>
      <c r="C96" t="s">
        <v>119</v>
      </c>
      <c r="D96" t="s">
        <v>119</v>
      </c>
    </row>
    <row r="97" spans="1:4" x14ac:dyDescent="0.3">
      <c r="A97" t="s">
        <v>201</v>
      </c>
      <c r="B97">
        <v>100041</v>
      </c>
      <c r="C97" t="s">
        <v>194</v>
      </c>
      <c r="D97" t="s">
        <v>194</v>
      </c>
    </row>
    <row r="98" spans="1:4" x14ac:dyDescent="0.3">
      <c r="A98" t="s">
        <v>106</v>
      </c>
      <c r="B98">
        <v>100043</v>
      </c>
      <c r="C98" t="s">
        <v>122</v>
      </c>
      <c r="D98" t="s">
        <v>122</v>
      </c>
    </row>
    <row r="99" spans="1:4" x14ac:dyDescent="0.3">
      <c r="A99" t="s">
        <v>106</v>
      </c>
      <c r="B99">
        <v>100043</v>
      </c>
      <c r="C99" t="s">
        <v>124</v>
      </c>
      <c r="D99" t="s">
        <v>124</v>
      </c>
    </row>
    <row r="100" spans="1:4" x14ac:dyDescent="0.3">
      <c r="A100" t="s">
        <v>106</v>
      </c>
      <c r="B100">
        <v>100043</v>
      </c>
      <c r="C100" t="s">
        <v>119</v>
      </c>
      <c r="D100" t="s">
        <v>119</v>
      </c>
    </row>
    <row r="101" spans="1:4" x14ac:dyDescent="0.3">
      <c r="A101" t="s">
        <v>106</v>
      </c>
      <c r="B101">
        <v>100043</v>
      </c>
      <c r="C101" t="s">
        <v>194</v>
      </c>
      <c r="D101" t="s">
        <v>194</v>
      </c>
    </row>
    <row r="102" spans="1:4" x14ac:dyDescent="0.3">
      <c r="A102" t="s">
        <v>106</v>
      </c>
      <c r="B102">
        <v>100043</v>
      </c>
      <c r="C102" t="s">
        <v>123</v>
      </c>
      <c r="D102" t="s">
        <v>123</v>
      </c>
    </row>
    <row r="103" spans="1:4" x14ac:dyDescent="0.3">
      <c r="A103" t="s">
        <v>202</v>
      </c>
      <c r="B103">
        <v>100047</v>
      </c>
      <c r="C103" t="s">
        <v>178</v>
      </c>
      <c r="D103" t="s">
        <v>178</v>
      </c>
    </row>
    <row r="104" spans="1:4" x14ac:dyDescent="0.3">
      <c r="A104" t="s">
        <v>202</v>
      </c>
      <c r="B104">
        <v>100047</v>
      </c>
      <c r="C104" t="s">
        <v>122</v>
      </c>
      <c r="D104" t="s">
        <v>122</v>
      </c>
    </row>
    <row r="105" spans="1:4" x14ac:dyDescent="0.3">
      <c r="A105" t="s">
        <v>202</v>
      </c>
      <c r="B105">
        <v>100047</v>
      </c>
      <c r="C105" t="s">
        <v>124</v>
      </c>
      <c r="D105" t="s">
        <v>124</v>
      </c>
    </row>
    <row r="106" spans="1:4" x14ac:dyDescent="0.3">
      <c r="A106" t="s">
        <v>202</v>
      </c>
      <c r="B106">
        <v>100047</v>
      </c>
      <c r="C106" t="s">
        <v>119</v>
      </c>
      <c r="D106" t="s">
        <v>119</v>
      </c>
    </row>
    <row r="107" spans="1:4" x14ac:dyDescent="0.3">
      <c r="A107" t="s">
        <v>202</v>
      </c>
      <c r="B107">
        <v>100047</v>
      </c>
      <c r="C107" t="s">
        <v>203</v>
      </c>
      <c r="D107" t="s">
        <v>203</v>
      </c>
    </row>
    <row r="108" spans="1:4" x14ac:dyDescent="0.3">
      <c r="A108" t="s">
        <v>202</v>
      </c>
      <c r="B108">
        <v>100047</v>
      </c>
      <c r="C108" t="s">
        <v>204</v>
      </c>
      <c r="D108" t="s">
        <v>204</v>
      </c>
    </row>
    <row r="109" spans="1:4" x14ac:dyDescent="0.3">
      <c r="A109" t="s">
        <v>202</v>
      </c>
      <c r="B109">
        <v>100047</v>
      </c>
      <c r="C109" t="s">
        <v>205</v>
      </c>
      <c r="D109" t="s">
        <v>205</v>
      </c>
    </row>
    <row r="110" spans="1:4" x14ac:dyDescent="0.3">
      <c r="A110" t="s">
        <v>202</v>
      </c>
      <c r="B110">
        <v>100047</v>
      </c>
      <c r="C110" t="s">
        <v>206</v>
      </c>
      <c r="D110" t="s">
        <v>206</v>
      </c>
    </row>
    <row r="111" spans="1:4" x14ac:dyDescent="0.3">
      <c r="A111" t="s">
        <v>207</v>
      </c>
      <c r="B111">
        <v>100050</v>
      </c>
      <c r="C111" t="s">
        <v>208</v>
      </c>
      <c r="D111" t="s">
        <v>208</v>
      </c>
    </row>
    <row r="112" spans="1:4" x14ac:dyDescent="0.3">
      <c r="A112" t="s">
        <v>207</v>
      </c>
      <c r="B112">
        <v>100050</v>
      </c>
      <c r="C112" t="s">
        <v>209</v>
      </c>
      <c r="D112" t="s">
        <v>209</v>
      </c>
    </row>
    <row r="113" spans="1:4" x14ac:dyDescent="0.3">
      <c r="A113" t="s">
        <v>207</v>
      </c>
      <c r="B113">
        <v>100050</v>
      </c>
      <c r="C113" t="s">
        <v>210</v>
      </c>
      <c r="D113" t="s">
        <v>210</v>
      </c>
    </row>
    <row r="114" spans="1:4" x14ac:dyDescent="0.3">
      <c r="A114" t="s">
        <v>207</v>
      </c>
      <c r="B114">
        <v>100050</v>
      </c>
      <c r="C114" t="s">
        <v>211</v>
      </c>
      <c r="D114" t="s">
        <v>211</v>
      </c>
    </row>
    <row r="115" spans="1:4" x14ac:dyDescent="0.3">
      <c r="A115" t="s">
        <v>207</v>
      </c>
      <c r="B115">
        <v>100050</v>
      </c>
      <c r="C115" t="s">
        <v>212</v>
      </c>
      <c r="D115" t="s">
        <v>212</v>
      </c>
    </row>
    <row r="116" spans="1:4" x14ac:dyDescent="0.3">
      <c r="A116" t="s">
        <v>207</v>
      </c>
      <c r="B116">
        <v>100050</v>
      </c>
      <c r="C116" t="s">
        <v>213</v>
      </c>
      <c r="D116" t="s">
        <v>213</v>
      </c>
    </row>
    <row r="117" spans="1:4" x14ac:dyDescent="0.3">
      <c r="A117" t="s">
        <v>207</v>
      </c>
      <c r="B117">
        <v>100050</v>
      </c>
      <c r="C117" t="s">
        <v>214</v>
      </c>
      <c r="D117" t="s">
        <v>214</v>
      </c>
    </row>
    <row r="118" spans="1:4" x14ac:dyDescent="0.3">
      <c r="A118" t="s">
        <v>207</v>
      </c>
      <c r="B118">
        <v>100050</v>
      </c>
      <c r="C118" t="s">
        <v>215</v>
      </c>
      <c r="D118" t="s">
        <v>215</v>
      </c>
    </row>
    <row r="119" spans="1:4" x14ac:dyDescent="0.3">
      <c r="A119" t="s">
        <v>207</v>
      </c>
      <c r="B119">
        <v>100050</v>
      </c>
      <c r="C119" t="s">
        <v>194</v>
      </c>
      <c r="D119" t="s">
        <v>194</v>
      </c>
    </row>
    <row r="120" spans="1:4" x14ac:dyDescent="0.3">
      <c r="A120" t="s">
        <v>91</v>
      </c>
      <c r="B120">
        <v>100052</v>
      </c>
      <c r="C120" t="s">
        <v>122</v>
      </c>
      <c r="D120" t="s">
        <v>122</v>
      </c>
    </row>
    <row r="121" spans="1:4" x14ac:dyDescent="0.3">
      <c r="A121" t="s">
        <v>91</v>
      </c>
      <c r="B121">
        <v>100052</v>
      </c>
      <c r="C121" t="s">
        <v>124</v>
      </c>
      <c r="D121" t="s">
        <v>124</v>
      </c>
    </row>
    <row r="122" spans="1:4" x14ac:dyDescent="0.3">
      <c r="A122" t="s">
        <v>91</v>
      </c>
      <c r="B122">
        <v>100052</v>
      </c>
      <c r="C122" t="s">
        <v>119</v>
      </c>
      <c r="D122" t="s">
        <v>119</v>
      </c>
    </row>
    <row r="123" spans="1:4" x14ac:dyDescent="0.3">
      <c r="A123" t="s">
        <v>126</v>
      </c>
      <c r="B123">
        <v>100301</v>
      </c>
      <c r="C123" t="s">
        <v>216</v>
      </c>
      <c r="D123" t="s">
        <v>216</v>
      </c>
    </row>
    <row r="124" spans="1:4" x14ac:dyDescent="0.3">
      <c r="A124" t="s">
        <v>126</v>
      </c>
      <c r="B124">
        <v>100301</v>
      </c>
      <c r="C124" t="s">
        <v>129</v>
      </c>
      <c r="D124" t="s">
        <v>129</v>
      </c>
    </row>
    <row r="125" spans="1:4" x14ac:dyDescent="0.3">
      <c r="A125" t="s">
        <v>126</v>
      </c>
      <c r="B125">
        <v>100301</v>
      </c>
      <c r="C125" t="s">
        <v>155</v>
      </c>
      <c r="D125" t="s">
        <v>155</v>
      </c>
    </row>
    <row r="126" spans="1:4" x14ac:dyDescent="0.3">
      <c r="A126" t="s">
        <v>126</v>
      </c>
      <c r="B126">
        <v>100301</v>
      </c>
      <c r="C126" t="s">
        <v>217</v>
      </c>
      <c r="D126" t="s">
        <v>217</v>
      </c>
    </row>
    <row r="127" spans="1:4" x14ac:dyDescent="0.3">
      <c r="A127" t="s">
        <v>126</v>
      </c>
      <c r="B127">
        <v>100301</v>
      </c>
      <c r="C127" t="s">
        <v>156</v>
      </c>
      <c r="D127" t="s">
        <v>156</v>
      </c>
    </row>
    <row r="128" spans="1:4" x14ac:dyDescent="0.3">
      <c r="A128" t="s">
        <v>126</v>
      </c>
      <c r="B128">
        <v>100301</v>
      </c>
      <c r="C128" t="s">
        <v>152</v>
      </c>
      <c r="D128" t="s">
        <v>152</v>
      </c>
    </row>
    <row r="129" spans="1:4" x14ac:dyDescent="0.3">
      <c r="A129" t="s">
        <v>127</v>
      </c>
      <c r="B129">
        <v>100303</v>
      </c>
      <c r="C129" t="s">
        <v>134</v>
      </c>
      <c r="D129" t="s">
        <v>134</v>
      </c>
    </row>
    <row r="130" spans="1:4" x14ac:dyDescent="0.3">
      <c r="A130" t="s">
        <v>127</v>
      </c>
      <c r="B130">
        <v>100303</v>
      </c>
      <c r="C130" t="s">
        <v>132</v>
      </c>
      <c r="D130" t="s">
        <v>132</v>
      </c>
    </row>
    <row r="131" spans="1:4" x14ac:dyDescent="0.3">
      <c r="A131" t="s">
        <v>127</v>
      </c>
      <c r="B131">
        <v>100303</v>
      </c>
      <c r="C131" t="s">
        <v>218</v>
      </c>
      <c r="D131" t="s">
        <v>218</v>
      </c>
    </row>
    <row r="132" spans="1:4" x14ac:dyDescent="0.3">
      <c r="A132" t="s">
        <v>127</v>
      </c>
      <c r="B132">
        <v>100303</v>
      </c>
      <c r="C132" t="s">
        <v>135</v>
      </c>
      <c r="D132" t="s">
        <v>135</v>
      </c>
    </row>
    <row r="133" spans="1:4" x14ac:dyDescent="0.3">
      <c r="A133" t="s">
        <v>127</v>
      </c>
      <c r="B133">
        <v>100303</v>
      </c>
      <c r="C133" t="s">
        <v>130</v>
      </c>
      <c r="D133" t="s">
        <v>130</v>
      </c>
    </row>
    <row r="134" spans="1:4" x14ac:dyDescent="0.3">
      <c r="A134" t="s">
        <v>128</v>
      </c>
      <c r="B134">
        <v>100304</v>
      </c>
      <c r="C134" t="s">
        <v>0</v>
      </c>
      <c r="D134" t="s">
        <v>0</v>
      </c>
    </row>
    <row r="135" spans="1:4" x14ac:dyDescent="0.3">
      <c r="A135" t="s">
        <v>128</v>
      </c>
      <c r="B135">
        <v>100304</v>
      </c>
      <c r="C135" t="s">
        <v>131</v>
      </c>
      <c r="D135" t="s">
        <v>131</v>
      </c>
    </row>
    <row r="136" spans="1:4" x14ac:dyDescent="0.3">
      <c r="A136" t="s">
        <v>128</v>
      </c>
      <c r="B136">
        <v>100304</v>
      </c>
      <c r="C136" t="s">
        <v>125</v>
      </c>
      <c r="D136" t="s">
        <v>125</v>
      </c>
    </row>
    <row r="137" spans="1:4" x14ac:dyDescent="0.3">
      <c r="A137" t="s">
        <v>128</v>
      </c>
      <c r="B137">
        <v>100304</v>
      </c>
      <c r="C137" t="s">
        <v>172</v>
      </c>
      <c r="D137" t="s">
        <v>172</v>
      </c>
    </row>
    <row r="138" spans="1:4" x14ac:dyDescent="0.3">
      <c r="A138" t="s">
        <v>128</v>
      </c>
      <c r="B138">
        <v>100304</v>
      </c>
      <c r="C138" t="s">
        <v>166</v>
      </c>
      <c r="D138" t="s">
        <v>166</v>
      </c>
    </row>
    <row r="139" spans="1:4" x14ac:dyDescent="0.3">
      <c r="A139" t="s">
        <v>128</v>
      </c>
      <c r="B139">
        <v>100304</v>
      </c>
      <c r="C139" t="s">
        <v>219</v>
      </c>
      <c r="D139" t="s">
        <v>219</v>
      </c>
    </row>
    <row r="140" spans="1:4" x14ac:dyDescent="0.3">
      <c r="A140" t="s">
        <v>128</v>
      </c>
      <c r="B140">
        <v>100304</v>
      </c>
      <c r="C140" t="s">
        <v>133</v>
      </c>
      <c r="D140" t="s">
        <v>133</v>
      </c>
    </row>
    <row r="141" spans="1:4" x14ac:dyDescent="0.3">
      <c r="A141" t="s">
        <v>128</v>
      </c>
      <c r="B141">
        <v>100304</v>
      </c>
      <c r="C141" t="s">
        <v>152</v>
      </c>
      <c r="D141" t="s">
        <v>152</v>
      </c>
    </row>
    <row r="142" spans="1:4" x14ac:dyDescent="0.3">
      <c r="A142" t="s">
        <v>220</v>
      </c>
      <c r="B142">
        <v>100306</v>
      </c>
      <c r="C142" t="s">
        <v>122</v>
      </c>
      <c r="D142" t="s">
        <v>122</v>
      </c>
    </row>
    <row r="143" spans="1:4" x14ac:dyDescent="0.3">
      <c r="A143" t="s">
        <v>220</v>
      </c>
      <c r="B143">
        <v>100306</v>
      </c>
      <c r="C143" t="s">
        <v>124</v>
      </c>
      <c r="D143" t="s">
        <v>124</v>
      </c>
    </row>
    <row r="144" spans="1:4" x14ac:dyDescent="0.3">
      <c r="A144" t="s">
        <v>220</v>
      </c>
      <c r="B144">
        <v>100306</v>
      </c>
      <c r="C144" t="s">
        <v>119</v>
      </c>
      <c r="D144" t="s">
        <v>119</v>
      </c>
    </row>
    <row r="145" spans="1:4" x14ac:dyDescent="0.3">
      <c r="A145" t="s">
        <v>220</v>
      </c>
      <c r="B145">
        <v>100306</v>
      </c>
      <c r="C145" t="s">
        <v>194</v>
      </c>
      <c r="D145" t="s">
        <v>194</v>
      </c>
    </row>
    <row r="146" spans="1:4" x14ac:dyDescent="0.3">
      <c r="A146" t="s">
        <v>221</v>
      </c>
      <c r="B146">
        <v>100319</v>
      </c>
      <c r="C146" t="s">
        <v>222</v>
      </c>
      <c r="D146" t="s">
        <v>222</v>
      </c>
    </row>
    <row r="147" spans="1:4" x14ac:dyDescent="0.3">
      <c r="A147" t="s">
        <v>221</v>
      </c>
      <c r="B147">
        <v>100319</v>
      </c>
      <c r="C147" t="s">
        <v>223</v>
      </c>
      <c r="D147" t="s">
        <v>223</v>
      </c>
    </row>
    <row r="148" spans="1:4" x14ac:dyDescent="0.3">
      <c r="A148" t="s">
        <v>221</v>
      </c>
      <c r="B148">
        <v>100319</v>
      </c>
      <c r="C148" t="s">
        <v>224</v>
      </c>
      <c r="D148" t="s">
        <v>224</v>
      </c>
    </row>
    <row r="149" spans="1:4" x14ac:dyDescent="0.3">
      <c r="A149" t="s">
        <v>225</v>
      </c>
      <c r="B149">
        <v>100320</v>
      </c>
      <c r="C149" t="s">
        <v>226</v>
      </c>
      <c r="D149" t="s">
        <v>226</v>
      </c>
    </row>
    <row r="150" spans="1:4" x14ac:dyDescent="0.3">
      <c r="A150" t="s">
        <v>225</v>
      </c>
      <c r="B150">
        <v>100320</v>
      </c>
      <c r="C150" t="s">
        <v>227</v>
      </c>
      <c r="D150" t="s">
        <v>227</v>
      </c>
    </row>
    <row r="151" spans="1:4" x14ac:dyDescent="0.3">
      <c r="A151" t="s">
        <v>225</v>
      </c>
      <c r="B151">
        <v>100320</v>
      </c>
      <c r="C151" t="s">
        <v>228</v>
      </c>
      <c r="D151" t="s">
        <v>228</v>
      </c>
    </row>
    <row r="152" spans="1:4" x14ac:dyDescent="0.3">
      <c r="A152" t="s">
        <v>225</v>
      </c>
      <c r="B152">
        <v>100320</v>
      </c>
      <c r="C152" t="s">
        <v>229</v>
      </c>
      <c r="D152" t="s">
        <v>229</v>
      </c>
    </row>
    <row r="153" spans="1:4" x14ac:dyDescent="0.3">
      <c r="A153" t="s">
        <v>225</v>
      </c>
      <c r="B153">
        <v>100320</v>
      </c>
      <c r="C153" t="s">
        <v>230</v>
      </c>
      <c r="D153" t="s">
        <v>230</v>
      </c>
    </row>
    <row r="154" spans="1:4" x14ac:dyDescent="0.3">
      <c r="A154" t="s">
        <v>225</v>
      </c>
      <c r="B154">
        <v>100320</v>
      </c>
      <c r="C154" t="s">
        <v>231</v>
      </c>
      <c r="D154" t="s">
        <v>231</v>
      </c>
    </row>
    <row r="155" spans="1:4" x14ac:dyDescent="0.3">
      <c r="A155" t="s">
        <v>232</v>
      </c>
      <c r="B155">
        <v>100321</v>
      </c>
      <c r="C155" t="s">
        <v>208</v>
      </c>
      <c r="D155" t="s">
        <v>208</v>
      </c>
    </row>
    <row r="156" spans="1:4" x14ac:dyDescent="0.3">
      <c r="A156" t="s">
        <v>232</v>
      </c>
      <c r="B156">
        <v>100321</v>
      </c>
      <c r="C156" t="s">
        <v>209</v>
      </c>
      <c r="D156" t="s">
        <v>209</v>
      </c>
    </row>
    <row r="157" spans="1:4" x14ac:dyDescent="0.3">
      <c r="A157" t="s">
        <v>232</v>
      </c>
      <c r="B157">
        <v>100321</v>
      </c>
      <c r="C157" t="s">
        <v>210</v>
      </c>
      <c r="D157" t="s">
        <v>210</v>
      </c>
    </row>
    <row r="158" spans="1:4" x14ac:dyDescent="0.3">
      <c r="A158" t="s">
        <v>232</v>
      </c>
      <c r="B158">
        <v>100321</v>
      </c>
      <c r="C158" t="s">
        <v>211</v>
      </c>
      <c r="D158" t="s">
        <v>211</v>
      </c>
    </row>
    <row r="159" spans="1:4" x14ac:dyDescent="0.3">
      <c r="A159" t="s">
        <v>232</v>
      </c>
      <c r="B159">
        <v>100321</v>
      </c>
      <c r="C159" t="s">
        <v>212</v>
      </c>
      <c r="D159" t="s">
        <v>212</v>
      </c>
    </row>
    <row r="160" spans="1:4" x14ac:dyDescent="0.3">
      <c r="A160" t="s">
        <v>232</v>
      </c>
      <c r="B160">
        <v>100321</v>
      </c>
      <c r="C160" t="s">
        <v>213</v>
      </c>
      <c r="D160" t="s">
        <v>213</v>
      </c>
    </row>
    <row r="161" spans="1:4" x14ac:dyDescent="0.3">
      <c r="A161" t="s">
        <v>232</v>
      </c>
      <c r="B161">
        <v>100321</v>
      </c>
      <c r="C161" t="s">
        <v>214</v>
      </c>
      <c r="D161" t="s">
        <v>214</v>
      </c>
    </row>
    <row r="162" spans="1:4" x14ac:dyDescent="0.3">
      <c r="A162" t="s">
        <v>232</v>
      </c>
      <c r="B162">
        <v>100321</v>
      </c>
      <c r="C162" t="s">
        <v>215</v>
      </c>
      <c r="D162" t="s">
        <v>215</v>
      </c>
    </row>
    <row r="163" spans="1:4" x14ac:dyDescent="0.3">
      <c r="A163" t="s">
        <v>233</v>
      </c>
      <c r="B163">
        <v>100322</v>
      </c>
      <c r="C163" t="s">
        <v>208</v>
      </c>
      <c r="D163" t="s">
        <v>208</v>
      </c>
    </row>
    <row r="164" spans="1:4" x14ac:dyDescent="0.3">
      <c r="A164" t="s">
        <v>233</v>
      </c>
      <c r="B164">
        <v>100322</v>
      </c>
      <c r="C164" t="s">
        <v>209</v>
      </c>
      <c r="D164" t="s">
        <v>209</v>
      </c>
    </row>
    <row r="165" spans="1:4" x14ac:dyDescent="0.3">
      <c r="A165" t="s">
        <v>233</v>
      </c>
      <c r="B165">
        <v>100322</v>
      </c>
      <c r="C165" t="s">
        <v>211</v>
      </c>
      <c r="D165" t="s">
        <v>211</v>
      </c>
    </row>
    <row r="166" spans="1:4" x14ac:dyDescent="0.3">
      <c r="A166" t="s">
        <v>233</v>
      </c>
      <c r="B166">
        <v>100322</v>
      </c>
      <c r="C166" t="s">
        <v>210</v>
      </c>
      <c r="D166" t="s">
        <v>210</v>
      </c>
    </row>
    <row r="167" spans="1:4" x14ac:dyDescent="0.3">
      <c r="A167" t="s">
        <v>233</v>
      </c>
      <c r="B167">
        <v>100322</v>
      </c>
      <c r="C167" t="s">
        <v>212</v>
      </c>
      <c r="D167" t="s">
        <v>212</v>
      </c>
    </row>
    <row r="168" spans="1:4" x14ac:dyDescent="0.3">
      <c r="A168" t="s">
        <v>233</v>
      </c>
      <c r="B168">
        <v>100322</v>
      </c>
      <c r="C168" t="s">
        <v>213</v>
      </c>
      <c r="D168" t="s">
        <v>213</v>
      </c>
    </row>
    <row r="169" spans="1:4" x14ac:dyDescent="0.3">
      <c r="A169" t="s">
        <v>233</v>
      </c>
      <c r="B169">
        <v>100322</v>
      </c>
      <c r="C169" t="s">
        <v>214</v>
      </c>
      <c r="D169" t="s">
        <v>214</v>
      </c>
    </row>
    <row r="170" spans="1:4" x14ac:dyDescent="0.3">
      <c r="A170" t="s">
        <v>233</v>
      </c>
      <c r="B170">
        <v>100322</v>
      </c>
      <c r="C170" t="s">
        <v>215</v>
      </c>
      <c r="D170" t="s">
        <v>215</v>
      </c>
    </row>
    <row r="171" spans="1:4" x14ac:dyDescent="0.3">
      <c r="A171" t="s">
        <v>233</v>
      </c>
      <c r="B171">
        <v>100322</v>
      </c>
      <c r="C171" t="s">
        <v>194</v>
      </c>
      <c r="D171" t="s">
        <v>194</v>
      </c>
    </row>
    <row r="172" spans="1:4" x14ac:dyDescent="0.3">
      <c r="A172" t="s">
        <v>234</v>
      </c>
      <c r="B172">
        <v>100323</v>
      </c>
      <c r="C172" t="s">
        <v>208</v>
      </c>
      <c r="D172" t="s">
        <v>208</v>
      </c>
    </row>
    <row r="173" spans="1:4" x14ac:dyDescent="0.3">
      <c r="A173" t="s">
        <v>234</v>
      </c>
      <c r="B173">
        <v>100323</v>
      </c>
      <c r="C173" t="s">
        <v>209</v>
      </c>
      <c r="D173" t="s">
        <v>209</v>
      </c>
    </row>
    <row r="174" spans="1:4" x14ac:dyDescent="0.3">
      <c r="A174" t="s">
        <v>234</v>
      </c>
      <c r="B174">
        <v>100323</v>
      </c>
      <c r="C174" t="s">
        <v>210</v>
      </c>
      <c r="D174" t="s">
        <v>210</v>
      </c>
    </row>
    <row r="175" spans="1:4" x14ac:dyDescent="0.3">
      <c r="A175" t="s">
        <v>234</v>
      </c>
      <c r="B175">
        <v>100323</v>
      </c>
      <c r="C175" t="s">
        <v>211</v>
      </c>
      <c r="D175" t="s">
        <v>211</v>
      </c>
    </row>
    <row r="176" spans="1:4" x14ac:dyDescent="0.3">
      <c r="A176" t="s">
        <v>234</v>
      </c>
      <c r="B176">
        <v>100323</v>
      </c>
      <c r="C176" t="s">
        <v>212</v>
      </c>
      <c r="D176" t="s">
        <v>212</v>
      </c>
    </row>
    <row r="177" spans="1:4" x14ac:dyDescent="0.3">
      <c r="A177" t="s">
        <v>234</v>
      </c>
      <c r="B177">
        <v>100323</v>
      </c>
      <c r="C177" t="s">
        <v>213</v>
      </c>
      <c r="D177" t="s">
        <v>213</v>
      </c>
    </row>
    <row r="178" spans="1:4" x14ac:dyDescent="0.3">
      <c r="A178" t="s">
        <v>234</v>
      </c>
      <c r="B178">
        <v>100323</v>
      </c>
      <c r="C178" t="s">
        <v>214</v>
      </c>
      <c r="D178" t="s">
        <v>214</v>
      </c>
    </row>
    <row r="179" spans="1:4" x14ac:dyDescent="0.3">
      <c r="A179" t="s">
        <v>234</v>
      </c>
      <c r="B179">
        <v>100323</v>
      </c>
      <c r="C179" t="s">
        <v>215</v>
      </c>
      <c r="D179" t="s">
        <v>215</v>
      </c>
    </row>
    <row r="180" spans="1:4" x14ac:dyDescent="0.3">
      <c r="A180" t="s">
        <v>235</v>
      </c>
      <c r="B180">
        <v>100224</v>
      </c>
      <c r="C180" t="s">
        <v>236</v>
      </c>
      <c r="D180" t="s">
        <v>237</v>
      </c>
    </row>
    <row r="181" spans="1:4" x14ac:dyDescent="0.3">
      <c r="A181" t="s">
        <v>235</v>
      </c>
      <c r="B181">
        <v>100409</v>
      </c>
      <c r="C181" t="s">
        <v>236</v>
      </c>
      <c r="D181" t="s">
        <v>237</v>
      </c>
    </row>
    <row r="182" spans="1:4" x14ac:dyDescent="0.3">
      <c r="A182" t="s">
        <v>235</v>
      </c>
      <c r="B182">
        <v>100224</v>
      </c>
      <c r="C182" t="s">
        <v>238</v>
      </c>
      <c r="D182" t="s">
        <v>239</v>
      </c>
    </row>
    <row r="183" spans="1:4" x14ac:dyDescent="0.3">
      <c r="A183" t="s">
        <v>235</v>
      </c>
      <c r="B183">
        <v>100409</v>
      </c>
      <c r="C183" t="s">
        <v>238</v>
      </c>
      <c r="D183" t="s">
        <v>239</v>
      </c>
    </row>
    <row r="184" spans="1:4" x14ac:dyDescent="0.3">
      <c r="A184" t="s">
        <v>235</v>
      </c>
      <c r="B184">
        <v>100224</v>
      </c>
      <c r="C184" t="s">
        <v>240</v>
      </c>
      <c r="D184" t="s">
        <v>241</v>
      </c>
    </row>
    <row r="185" spans="1:4" x14ac:dyDescent="0.3">
      <c r="A185" t="s">
        <v>235</v>
      </c>
      <c r="B185">
        <v>100409</v>
      </c>
      <c r="C185" t="s">
        <v>240</v>
      </c>
      <c r="D185" t="s">
        <v>241</v>
      </c>
    </row>
    <row r="186" spans="1:4" x14ac:dyDescent="0.3">
      <c r="A186" t="s">
        <v>235</v>
      </c>
      <c r="B186">
        <v>100224</v>
      </c>
      <c r="C186" t="s">
        <v>242</v>
      </c>
      <c r="D186" t="s">
        <v>243</v>
      </c>
    </row>
    <row r="187" spans="1:4" x14ac:dyDescent="0.3">
      <c r="A187" t="s">
        <v>235</v>
      </c>
      <c r="B187">
        <v>100409</v>
      </c>
      <c r="C187" t="s">
        <v>242</v>
      </c>
      <c r="D187" t="s">
        <v>243</v>
      </c>
    </row>
    <row r="188" spans="1:4" x14ac:dyDescent="0.3">
      <c r="A188" t="s">
        <v>235</v>
      </c>
      <c r="B188">
        <v>100224</v>
      </c>
      <c r="C188" t="s">
        <v>244</v>
      </c>
      <c r="D188" t="s">
        <v>245</v>
      </c>
    </row>
    <row r="189" spans="1:4" x14ac:dyDescent="0.3">
      <c r="A189" t="s">
        <v>235</v>
      </c>
      <c r="B189">
        <v>100409</v>
      </c>
      <c r="C189" t="s">
        <v>244</v>
      </c>
      <c r="D189" t="s">
        <v>245</v>
      </c>
    </row>
    <row r="190" spans="1:4" x14ac:dyDescent="0.3">
      <c r="A190" t="s">
        <v>235</v>
      </c>
      <c r="B190">
        <v>100224</v>
      </c>
      <c r="C190" t="s">
        <v>246</v>
      </c>
      <c r="D190" t="s">
        <v>246</v>
      </c>
    </row>
    <row r="191" spans="1:4" x14ac:dyDescent="0.3">
      <c r="A191" t="s">
        <v>235</v>
      </c>
      <c r="B191">
        <v>100409</v>
      </c>
      <c r="C191" t="s">
        <v>246</v>
      </c>
      <c r="D191" t="s">
        <v>246</v>
      </c>
    </row>
    <row r="192" spans="1:4" x14ac:dyDescent="0.3">
      <c r="A192" t="s">
        <v>235</v>
      </c>
      <c r="B192">
        <v>100224</v>
      </c>
      <c r="C192" t="s">
        <v>247</v>
      </c>
      <c r="D192" t="s">
        <v>247</v>
      </c>
    </row>
    <row r="193" spans="1:4" x14ac:dyDescent="0.3">
      <c r="A193" t="s">
        <v>235</v>
      </c>
      <c r="B193">
        <v>100409</v>
      </c>
      <c r="C193" t="s">
        <v>247</v>
      </c>
      <c r="D193" t="s">
        <v>247</v>
      </c>
    </row>
    <row r="194" spans="1:4" x14ac:dyDescent="0.3">
      <c r="A194" t="s">
        <v>248</v>
      </c>
      <c r="B194">
        <v>100849</v>
      </c>
      <c r="C194" t="s">
        <v>249</v>
      </c>
      <c r="D194" t="s">
        <v>249</v>
      </c>
    </row>
    <row r="195" spans="1:4" x14ac:dyDescent="0.3">
      <c r="A195" t="s">
        <v>248</v>
      </c>
      <c r="B195">
        <v>100849</v>
      </c>
      <c r="C195" t="s">
        <v>250</v>
      </c>
      <c r="D195" t="s">
        <v>250</v>
      </c>
    </row>
    <row r="196" spans="1:4" x14ac:dyDescent="0.3">
      <c r="A196" t="s">
        <v>248</v>
      </c>
      <c r="B196">
        <v>100849</v>
      </c>
      <c r="C196" t="s">
        <v>251</v>
      </c>
      <c r="D196" t="s">
        <v>251</v>
      </c>
    </row>
    <row r="197" spans="1:4" x14ac:dyDescent="0.3">
      <c r="A197" t="s">
        <v>248</v>
      </c>
      <c r="B197">
        <v>100849</v>
      </c>
      <c r="C197" t="s">
        <v>252</v>
      </c>
      <c r="D197" t="s">
        <v>252</v>
      </c>
    </row>
    <row r="198" spans="1:4" x14ac:dyDescent="0.3">
      <c r="A198" t="s">
        <v>248</v>
      </c>
      <c r="B198">
        <v>100849</v>
      </c>
      <c r="C198" t="s">
        <v>253</v>
      </c>
      <c r="D198" t="s">
        <v>253</v>
      </c>
    </row>
    <row r="199" spans="1:4" x14ac:dyDescent="0.3">
      <c r="A199" t="s">
        <v>248</v>
      </c>
      <c r="B199">
        <v>100849</v>
      </c>
      <c r="C199" t="s">
        <v>254</v>
      </c>
      <c r="D199" t="s">
        <v>254</v>
      </c>
    </row>
    <row r="200" spans="1:4" x14ac:dyDescent="0.3">
      <c r="A200" t="s">
        <v>248</v>
      </c>
      <c r="B200">
        <v>100849</v>
      </c>
      <c r="C200" t="s">
        <v>255</v>
      </c>
      <c r="D200" t="s">
        <v>255</v>
      </c>
    </row>
    <row r="201" spans="1:4" x14ac:dyDescent="0.3">
      <c r="A201" t="s">
        <v>248</v>
      </c>
      <c r="B201">
        <v>100849</v>
      </c>
      <c r="C201" t="s">
        <v>256</v>
      </c>
      <c r="D201" t="s">
        <v>256</v>
      </c>
    </row>
    <row r="202" spans="1:4" x14ac:dyDescent="0.3">
      <c r="A202" t="s">
        <v>248</v>
      </c>
      <c r="B202">
        <v>100849</v>
      </c>
      <c r="C202" t="s">
        <v>257</v>
      </c>
      <c r="D202" t="s">
        <v>257</v>
      </c>
    </row>
    <row r="203" spans="1:4" x14ac:dyDescent="0.3">
      <c r="A203" t="s">
        <v>248</v>
      </c>
      <c r="B203">
        <v>100849</v>
      </c>
      <c r="C203" t="s">
        <v>258</v>
      </c>
      <c r="D203" t="s">
        <v>258</v>
      </c>
    </row>
    <row r="204" spans="1:4" x14ac:dyDescent="0.3">
      <c r="A204" t="s">
        <v>248</v>
      </c>
      <c r="B204">
        <v>100849</v>
      </c>
      <c r="C204" t="s">
        <v>259</v>
      </c>
      <c r="D204" t="s">
        <v>259</v>
      </c>
    </row>
    <row r="205" spans="1:4" x14ac:dyDescent="0.3">
      <c r="A205" t="s">
        <v>248</v>
      </c>
      <c r="B205">
        <v>100849</v>
      </c>
      <c r="C205" t="s">
        <v>260</v>
      </c>
      <c r="D205" t="s">
        <v>260</v>
      </c>
    </row>
    <row r="206" spans="1:4" x14ac:dyDescent="0.3">
      <c r="A206" t="s">
        <v>248</v>
      </c>
      <c r="B206">
        <v>100849</v>
      </c>
      <c r="C206" t="s">
        <v>261</v>
      </c>
      <c r="D206" t="s">
        <v>261</v>
      </c>
    </row>
    <row r="207" spans="1:4" x14ac:dyDescent="0.3">
      <c r="A207" t="s">
        <v>248</v>
      </c>
      <c r="B207">
        <v>100849</v>
      </c>
      <c r="C207" t="s">
        <v>262</v>
      </c>
      <c r="D207" t="s">
        <v>262</v>
      </c>
    </row>
    <row r="208" spans="1:4" x14ac:dyDescent="0.3">
      <c r="A208" t="s">
        <v>248</v>
      </c>
      <c r="B208">
        <v>100849</v>
      </c>
      <c r="C208" t="s">
        <v>263</v>
      </c>
      <c r="D208" t="s">
        <v>263</v>
      </c>
    </row>
    <row r="209" spans="1:4" x14ac:dyDescent="0.3">
      <c r="A209" t="s">
        <v>248</v>
      </c>
      <c r="B209">
        <v>100849</v>
      </c>
      <c r="C209" t="s">
        <v>264</v>
      </c>
      <c r="D209" t="s">
        <v>264</v>
      </c>
    </row>
    <row r="210" spans="1:4" x14ac:dyDescent="0.3">
      <c r="A210" t="s">
        <v>248</v>
      </c>
      <c r="B210">
        <v>100849</v>
      </c>
      <c r="C210" t="s">
        <v>265</v>
      </c>
      <c r="D210" t="s">
        <v>265</v>
      </c>
    </row>
    <row r="211" spans="1:4" x14ac:dyDescent="0.3">
      <c r="A211" t="s">
        <v>266</v>
      </c>
      <c r="B211">
        <v>100850</v>
      </c>
      <c r="C211" t="s">
        <v>267</v>
      </c>
      <c r="D211" t="s">
        <v>267</v>
      </c>
    </row>
    <row r="212" spans="1:4" x14ac:dyDescent="0.3">
      <c r="A212" t="s">
        <v>266</v>
      </c>
      <c r="B212">
        <v>100850</v>
      </c>
      <c r="C212" t="s">
        <v>268</v>
      </c>
      <c r="D212" t="s">
        <v>269</v>
      </c>
    </row>
    <row r="213" spans="1:4" x14ac:dyDescent="0.3">
      <c r="A213" t="s">
        <v>266</v>
      </c>
      <c r="B213">
        <v>100850</v>
      </c>
      <c r="C213" t="s">
        <v>270</v>
      </c>
      <c r="D213" t="s">
        <v>270</v>
      </c>
    </row>
    <row r="214" spans="1:4" x14ac:dyDescent="0.3">
      <c r="A214" t="s">
        <v>266</v>
      </c>
      <c r="B214">
        <v>100850</v>
      </c>
      <c r="C214" t="s">
        <v>271</v>
      </c>
      <c r="D214" t="s">
        <v>271</v>
      </c>
    </row>
    <row r="215" spans="1:4" x14ac:dyDescent="0.3">
      <c r="A215" t="s">
        <v>266</v>
      </c>
      <c r="B215">
        <v>100850</v>
      </c>
      <c r="C215" t="s">
        <v>272</v>
      </c>
      <c r="D215" t="s">
        <v>272</v>
      </c>
    </row>
    <row r="216" spans="1:4" x14ac:dyDescent="0.3">
      <c r="A216" t="s">
        <v>266</v>
      </c>
      <c r="B216">
        <v>100850</v>
      </c>
      <c r="C216" t="s">
        <v>273</v>
      </c>
      <c r="D216" t="s">
        <v>273</v>
      </c>
    </row>
    <row r="217" spans="1:4" x14ac:dyDescent="0.3">
      <c r="A217" t="s">
        <v>266</v>
      </c>
      <c r="B217">
        <v>100850</v>
      </c>
      <c r="C217" t="s">
        <v>274</v>
      </c>
      <c r="D217" t="s">
        <v>274</v>
      </c>
    </row>
    <row r="218" spans="1:4" x14ac:dyDescent="0.3">
      <c r="A218" t="s">
        <v>266</v>
      </c>
      <c r="B218">
        <v>100850</v>
      </c>
      <c r="C218" t="s">
        <v>275</v>
      </c>
      <c r="D218" t="s">
        <v>275</v>
      </c>
    </row>
    <row r="219" spans="1:4" x14ac:dyDescent="0.3">
      <c r="A219" t="s">
        <v>266</v>
      </c>
      <c r="B219">
        <v>100850</v>
      </c>
      <c r="C219" t="s">
        <v>276</v>
      </c>
      <c r="D219" t="s">
        <v>276</v>
      </c>
    </row>
    <row r="220" spans="1:4" x14ac:dyDescent="0.3">
      <c r="A220" t="s">
        <v>266</v>
      </c>
      <c r="B220">
        <v>100850</v>
      </c>
      <c r="C220" t="s">
        <v>277</v>
      </c>
      <c r="D220" t="s">
        <v>277</v>
      </c>
    </row>
    <row r="221" spans="1:4" x14ac:dyDescent="0.3">
      <c r="A221" t="s">
        <v>266</v>
      </c>
      <c r="B221">
        <v>100850</v>
      </c>
      <c r="C221" t="s">
        <v>278</v>
      </c>
      <c r="D221" t="s">
        <v>278</v>
      </c>
    </row>
    <row r="222" spans="1:4" x14ac:dyDescent="0.3">
      <c r="A222" t="s">
        <v>266</v>
      </c>
      <c r="B222">
        <v>100850</v>
      </c>
      <c r="C222" t="s">
        <v>279</v>
      </c>
      <c r="D222" t="s">
        <v>279</v>
      </c>
    </row>
    <row r="223" spans="1:4" x14ac:dyDescent="0.3">
      <c r="A223" t="s">
        <v>266</v>
      </c>
      <c r="B223">
        <v>100850</v>
      </c>
      <c r="C223" t="s">
        <v>280</v>
      </c>
      <c r="D223" t="s">
        <v>280</v>
      </c>
    </row>
    <row r="224" spans="1:4" x14ac:dyDescent="0.3">
      <c r="A224" t="s">
        <v>266</v>
      </c>
      <c r="B224">
        <v>100850</v>
      </c>
      <c r="C224" t="s">
        <v>281</v>
      </c>
      <c r="D224" t="s">
        <v>281</v>
      </c>
    </row>
    <row r="225" spans="1:4" x14ac:dyDescent="0.3">
      <c r="A225" t="s">
        <v>266</v>
      </c>
      <c r="B225">
        <v>100850</v>
      </c>
      <c r="C225" t="s">
        <v>282</v>
      </c>
      <c r="D225" t="s">
        <v>282</v>
      </c>
    </row>
    <row r="226" spans="1:4" x14ac:dyDescent="0.3">
      <c r="A226" t="s">
        <v>266</v>
      </c>
      <c r="B226">
        <v>100850</v>
      </c>
      <c r="C226" t="s">
        <v>283</v>
      </c>
      <c r="D226" t="s">
        <v>283</v>
      </c>
    </row>
    <row r="227" spans="1:4" x14ac:dyDescent="0.3">
      <c r="A227" t="s">
        <v>284</v>
      </c>
      <c r="B227">
        <v>100851</v>
      </c>
      <c r="C227" t="s">
        <v>285</v>
      </c>
      <c r="D227" t="s">
        <v>285</v>
      </c>
    </row>
    <row r="228" spans="1:4" x14ac:dyDescent="0.3">
      <c r="A228" t="s">
        <v>284</v>
      </c>
      <c r="B228">
        <v>100851</v>
      </c>
      <c r="C228" t="s">
        <v>286</v>
      </c>
      <c r="D228" t="s">
        <v>286</v>
      </c>
    </row>
    <row r="229" spans="1:4" x14ac:dyDescent="0.3">
      <c r="A229" t="s">
        <v>284</v>
      </c>
      <c r="B229">
        <v>100851</v>
      </c>
      <c r="C229" t="s">
        <v>287</v>
      </c>
      <c r="D229" t="s">
        <v>287</v>
      </c>
    </row>
    <row r="230" spans="1:4" x14ac:dyDescent="0.3">
      <c r="A230" t="s">
        <v>284</v>
      </c>
      <c r="B230">
        <v>100851</v>
      </c>
      <c r="C230" t="s">
        <v>288</v>
      </c>
      <c r="D230" t="s">
        <v>288</v>
      </c>
    </row>
    <row r="231" spans="1:4" x14ac:dyDescent="0.3">
      <c r="A231" t="s">
        <v>284</v>
      </c>
      <c r="B231">
        <v>100851</v>
      </c>
      <c r="C231" t="s">
        <v>289</v>
      </c>
      <c r="D231" t="s">
        <v>290</v>
      </c>
    </row>
    <row r="232" spans="1:4" x14ac:dyDescent="0.3">
      <c r="A232" t="s">
        <v>291</v>
      </c>
      <c r="B232">
        <v>100852</v>
      </c>
      <c r="C232" t="s">
        <v>292</v>
      </c>
      <c r="D232" t="s">
        <v>292</v>
      </c>
    </row>
    <row r="233" spans="1:4" x14ac:dyDescent="0.3">
      <c r="A233" t="s">
        <v>291</v>
      </c>
      <c r="B233">
        <v>100852</v>
      </c>
      <c r="C233" t="s">
        <v>293</v>
      </c>
      <c r="D233" t="s">
        <v>293</v>
      </c>
    </row>
    <row r="234" spans="1:4" x14ac:dyDescent="0.3">
      <c r="A234" t="s">
        <v>291</v>
      </c>
      <c r="B234">
        <v>100852</v>
      </c>
      <c r="C234" t="s">
        <v>294</v>
      </c>
      <c r="D234" t="s">
        <v>294</v>
      </c>
    </row>
    <row r="235" spans="1:4" x14ac:dyDescent="0.3">
      <c r="A235" t="s">
        <v>291</v>
      </c>
      <c r="B235">
        <v>100852</v>
      </c>
      <c r="C235" t="s">
        <v>295</v>
      </c>
      <c r="D235" t="s">
        <v>295</v>
      </c>
    </row>
    <row r="236" spans="1:4" x14ac:dyDescent="0.3">
      <c r="A236" t="s">
        <v>291</v>
      </c>
      <c r="B236">
        <v>100852</v>
      </c>
      <c r="C236" t="s">
        <v>296</v>
      </c>
      <c r="D236" t="s">
        <v>296</v>
      </c>
    </row>
    <row r="237" spans="1:4" x14ac:dyDescent="0.3">
      <c r="A237" t="s">
        <v>291</v>
      </c>
      <c r="B237">
        <v>100852</v>
      </c>
      <c r="C237" t="s">
        <v>297</v>
      </c>
      <c r="D237" t="s">
        <v>297</v>
      </c>
    </row>
    <row r="238" spans="1:4" x14ac:dyDescent="0.3">
      <c r="A238" t="s">
        <v>298</v>
      </c>
      <c r="B238">
        <v>100860</v>
      </c>
      <c r="C238" t="s">
        <v>299</v>
      </c>
      <c r="D238" t="s">
        <v>299</v>
      </c>
    </row>
    <row r="239" spans="1:4" x14ac:dyDescent="0.3">
      <c r="A239" t="s">
        <v>298</v>
      </c>
      <c r="B239">
        <v>100860</v>
      </c>
      <c r="C239" t="s">
        <v>300</v>
      </c>
      <c r="D239" t="s">
        <v>300</v>
      </c>
    </row>
    <row r="240" spans="1:4" x14ac:dyDescent="0.3">
      <c r="A240" t="s">
        <v>298</v>
      </c>
      <c r="B240">
        <v>100860</v>
      </c>
      <c r="C240" t="s">
        <v>301</v>
      </c>
      <c r="D240" t="s">
        <v>301</v>
      </c>
    </row>
    <row r="241" spans="1:4" x14ac:dyDescent="0.3">
      <c r="A241" t="s">
        <v>298</v>
      </c>
      <c r="B241">
        <v>100860</v>
      </c>
      <c r="C241" t="s">
        <v>302</v>
      </c>
      <c r="D241" t="s">
        <v>302</v>
      </c>
    </row>
    <row r="242" spans="1:4" x14ac:dyDescent="0.3">
      <c r="A242" t="s">
        <v>298</v>
      </c>
      <c r="B242">
        <v>100860</v>
      </c>
      <c r="C242" t="s">
        <v>303</v>
      </c>
      <c r="D242" t="s">
        <v>303</v>
      </c>
    </row>
    <row r="243" spans="1:4" x14ac:dyDescent="0.3">
      <c r="A243" t="s">
        <v>298</v>
      </c>
      <c r="B243">
        <v>100860</v>
      </c>
      <c r="C243" t="s">
        <v>304</v>
      </c>
      <c r="D243" t="s">
        <v>304</v>
      </c>
    </row>
    <row r="244" spans="1:4" x14ac:dyDescent="0.3">
      <c r="A244" t="s">
        <v>298</v>
      </c>
      <c r="B244">
        <v>100860</v>
      </c>
      <c r="C244" t="s">
        <v>305</v>
      </c>
      <c r="D244" t="s">
        <v>305</v>
      </c>
    </row>
    <row r="245" spans="1:4" x14ac:dyDescent="0.3">
      <c r="A245" t="s">
        <v>298</v>
      </c>
      <c r="B245">
        <v>100860</v>
      </c>
      <c r="C245" t="s">
        <v>306</v>
      </c>
      <c r="D245" t="s">
        <v>306</v>
      </c>
    </row>
    <row r="246" spans="1:4" x14ac:dyDescent="0.3">
      <c r="A246" t="s">
        <v>298</v>
      </c>
      <c r="B246">
        <v>100860</v>
      </c>
      <c r="C246" t="s">
        <v>307</v>
      </c>
      <c r="D246" t="s">
        <v>307</v>
      </c>
    </row>
    <row r="247" spans="1:4" x14ac:dyDescent="0.3">
      <c r="A247" t="s">
        <v>298</v>
      </c>
      <c r="B247">
        <v>100860</v>
      </c>
      <c r="C247" t="s">
        <v>308</v>
      </c>
      <c r="D247" t="s">
        <v>308</v>
      </c>
    </row>
    <row r="248" spans="1:4" x14ac:dyDescent="0.3">
      <c r="A248" t="s">
        <v>298</v>
      </c>
      <c r="B248">
        <v>100860</v>
      </c>
      <c r="C248" t="s">
        <v>309</v>
      </c>
      <c r="D248" t="s">
        <v>309</v>
      </c>
    </row>
    <row r="249" spans="1:4" x14ac:dyDescent="0.3">
      <c r="A249" t="s">
        <v>310</v>
      </c>
      <c r="B249">
        <v>100861</v>
      </c>
      <c r="C249" t="s">
        <v>299</v>
      </c>
      <c r="D249" t="s">
        <v>299</v>
      </c>
    </row>
    <row r="250" spans="1:4" x14ac:dyDescent="0.3">
      <c r="A250" t="s">
        <v>310</v>
      </c>
      <c r="B250">
        <v>100861</v>
      </c>
      <c r="C250" t="s">
        <v>311</v>
      </c>
      <c r="D250" t="s">
        <v>311</v>
      </c>
    </row>
    <row r="251" spans="1:4" x14ac:dyDescent="0.3">
      <c r="A251" t="s">
        <v>310</v>
      </c>
      <c r="B251">
        <v>100861</v>
      </c>
      <c r="C251" t="s">
        <v>312</v>
      </c>
      <c r="D251" t="s">
        <v>312</v>
      </c>
    </row>
    <row r="252" spans="1:4" x14ac:dyDescent="0.3">
      <c r="A252" t="s">
        <v>310</v>
      </c>
      <c r="B252">
        <v>100861</v>
      </c>
      <c r="C252" t="s">
        <v>313</v>
      </c>
      <c r="D252" t="s">
        <v>313</v>
      </c>
    </row>
    <row r="253" spans="1:4" x14ac:dyDescent="0.3">
      <c r="A253" t="s">
        <v>310</v>
      </c>
      <c r="B253">
        <v>100861</v>
      </c>
      <c r="C253" t="s">
        <v>314</v>
      </c>
      <c r="D253" t="s">
        <v>314</v>
      </c>
    </row>
    <row r="254" spans="1:4" x14ac:dyDescent="0.3">
      <c r="A254" t="s">
        <v>310</v>
      </c>
      <c r="B254">
        <v>100861</v>
      </c>
      <c r="C254" t="s">
        <v>315</v>
      </c>
      <c r="D254" t="s">
        <v>315</v>
      </c>
    </row>
    <row r="255" spans="1:4" x14ac:dyDescent="0.3">
      <c r="A255" t="s">
        <v>310</v>
      </c>
      <c r="B255">
        <v>100861</v>
      </c>
      <c r="C255" t="s">
        <v>316</v>
      </c>
      <c r="D255" t="s">
        <v>316</v>
      </c>
    </row>
    <row r="256" spans="1:4" x14ac:dyDescent="0.3">
      <c r="A256" t="s">
        <v>310</v>
      </c>
      <c r="B256">
        <v>100861</v>
      </c>
      <c r="C256" t="s">
        <v>317</v>
      </c>
      <c r="D256" t="s">
        <v>317</v>
      </c>
    </row>
    <row r="257" spans="1:4" x14ac:dyDescent="0.3">
      <c r="A257" t="s">
        <v>310</v>
      </c>
      <c r="B257">
        <v>100861</v>
      </c>
      <c r="C257" t="s">
        <v>318</v>
      </c>
      <c r="D257" t="s">
        <v>318</v>
      </c>
    </row>
    <row r="258" spans="1:4" x14ac:dyDescent="0.3">
      <c r="A258" t="s">
        <v>310</v>
      </c>
      <c r="B258">
        <v>100861</v>
      </c>
      <c r="C258" t="s">
        <v>319</v>
      </c>
      <c r="D258" t="s">
        <v>319</v>
      </c>
    </row>
    <row r="259" spans="1:4" x14ac:dyDescent="0.3">
      <c r="A259" t="s">
        <v>310</v>
      </c>
      <c r="B259">
        <v>100861</v>
      </c>
      <c r="C259" t="s">
        <v>320</v>
      </c>
      <c r="D259" t="s">
        <v>320</v>
      </c>
    </row>
    <row r="260" spans="1:4" x14ac:dyDescent="0.3">
      <c r="A260" t="s">
        <v>321</v>
      </c>
      <c r="B260">
        <v>100862</v>
      </c>
      <c r="C260" t="s">
        <v>322</v>
      </c>
      <c r="D260" t="s">
        <v>322</v>
      </c>
    </row>
    <row r="261" spans="1:4" x14ac:dyDescent="0.3">
      <c r="A261" t="s">
        <v>321</v>
      </c>
      <c r="B261">
        <v>100862</v>
      </c>
      <c r="C261" t="s">
        <v>323</v>
      </c>
      <c r="D261" t="s">
        <v>323</v>
      </c>
    </row>
    <row r="262" spans="1:4" x14ac:dyDescent="0.3">
      <c r="A262" t="s">
        <v>321</v>
      </c>
      <c r="B262">
        <v>100862</v>
      </c>
      <c r="C262" t="s">
        <v>324</v>
      </c>
      <c r="D262" t="s">
        <v>324</v>
      </c>
    </row>
    <row r="263" spans="1:4" x14ac:dyDescent="0.3">
      <c r="A263" t="s">
        <v>321</v>
      </c>
      <c r="B263">
        <v>100862</v>
      </c>
      <c r="C263" t="s">
        <v>325</v>
      </c>
      <c r="D263" t="s">
        <v>325</v>
      </c>
    </row>
    <row r="264" spans="1:4" x14ac:dyDescent="0.3">
      <c r="A264" t="s">
        <v>321</v>
      </c>
      <c r="B264">
        <v>100862</v>
      </c>
      <c r="C264" t="s">
        <v>326</v>
      </c>
      <c r="D264" t="s">
        <v>326</v>
      </c>
    </row>
    <row r="265" spans="1:4" x14ac:dyDescent="0.3">
      <c r="A265" t="s">
        <v>321</v>
      </c>
      <c r="B265">
        <v>100862</v>
      </c>
      <c r="C265" t="s">
        <v>299</v>
      </c>
      <c r="D265" t="s">
        <v>299</v>
      </c>
    </row>
    <row r="266" spans="1:4" x14ac:dyDescent="0.3">
      <c r="A266" t="s">
        <v>321</v>
      </c>
      <c r="B266">
        <v>100862</v>
      </c>
      <c r="C266" t="s">
        <v>327</v>
      </c>
      <c r="D266" t="s">
        <v>327</v>
      </c>
    </row>
    <row r="267" spans="1:4" x14ac:dyDescent="0.3">
      <c r="A267" t="s">
        <v>328</v>
      </c>
      <c r="B267">
        <v>100863</v>
      </c>
      <c r="C267" t="s">
        <v>322</v>
      </c>
      <c r="D267" t="s">
        <v>322</v>
      </c>
    </row>
    <row r="268" spans="1:4" x14ac:dyDescent="0.3">
      <c r="A268" t="s">
        <v>328</v>
      </c>
      <c r="B268">
        <v>100863</v>
      </c>
      <c r="C268" t="s">
        <v>323</v>
      </c>
      <c r="D268" t="s">
        <v>323</v>
      </c>
    </row>
    <row r="269" spans="1:4" x14ac:dyDescent="0.3">
      <c r="A269" t="s">
        <v>328</v>
      </c>
      <c r="B269">
        <v>100863</v>
      </c>
      <c r="C269" t="s">
        <v>324</v>
      </c>
      <c r="D269" t="s">
        <v>324</v>
      </c>
    </row>
    <row r="270" spans="1:4" x14ac:dyDescent="0.3">
      <c r="A270" t="s">
        <v>328</v>
      </c>
      <c r="B270">
        <v>100863</v>
      </c>
      <c r="C270" t="s">
        <v>325</v>
      </c>
      <c r="D270" t="s">
        <v>325</v>
      </c>
    </row>
    <row r="271" spans="1:4" x14ac:dyDescent="0.3">
      <c r="A271" t="s">
        <v>328</v>
      </c>
      <c r="B271">
        <v>100863</v>
      </c>
      <c r="C271" t="s">
        <v>326</v>
      </c>
      <c r="D271" t="s">
        <v>326</v>
      </c>
    </row>
    <row r="272" spans="1:4" x14ac:dyDescent="0.3">
      <c r="A272" t="s">
        <v>328</v>
      </c>
      <c r="B272">
        <v>100863</v>
      </c>
      <c r="C272" t="s">
        <v>299</v>
      </c>
      <c r="D272" t="s">
        <v>299</v>
      </c>
    </row>
    <row r="273" spans="1:4" x14ac:dyDescent="0.3">
      <c r="A273" t="s">
        <v>328</v>
      </c>
      <c r="B273">
        <v>100863</v>
      </c>
      <c r="C273" t="s">
        <v>327</v>
      </c>
      <c r="D273" t="s">
        <v>327</v>
      </c>
    </row>
    <row r="274" spans="1:4" x14ac:dyDescent="0.3">
      <c r="A274" t="s">
        <v>329</v>
      </c>
      <c r="B274">
        <v>100864</v>
      </c>
      <c r="C274" t="s">
        <v>322</v>
      </c>
      <c r="D274" t="s">
        <v>322</v>
      </c>
    </row>
    <row r="275" spans="1:4" x14ac:dyDescent="0.3">
      <c r="A275" t="s">
        <v>329</v>
      </c>
      <c r="B275">
        <v>100864</v>
      </c>
      <c r="C275" t="s">
        <v>323</v>
      </c>
      <c r="D275" t="s">
        <v>323</v>
      </c>
    </row>
    <row r="276" spans="1:4" x14ac:dyDescent="0.3">
      <c r="A276" t="s">
        <v>329</v>
      </c>
      <c r="B276">
        <v>100864</v>
      </c>
      <c r="C276" t="s">
        <v>324</v>
      </c>
      <c r="D276" t="s">
        <v>324</v>
      </c>
    </row>
    <row r="277" spans="1:4" x14ac:dyDescent="0.3">
      <c r="A277" t="s">
        <v>329</v>
      </c>
      <c r="B277">
        <v>100864</v>
      </c>
      <c r="C277" t="s">
        <v>325</v>
      </c>
      <c r="D277" t="s">
        <v>325</v>
      </c>
    </row>
    <row r="278" spans="1:4" x14ac:dyDescent="0.3">
      <c r="A278" t="s">
        <v>329</v>
      </c>
      <c r="B278">
        <v>100864</v>
      </c>
      <c r="C278" t="s">
        <v>326</v>
      </c>
      <c r="D278" t="s">
        <v>326</v>
      </c>
    </row>
    <row r="279" spans="1:4" x14ac:dyDescent="0.3">
      <c r="A279" t="s">
        <v>329</v>
      </c>
      <c r="B279">
        <v>100864</v>
      </c>
      <c r="C279" t="s">
        <v>299</v>
      </c>
      <c r="D279" t="s">
        <v>299</v>
      </c>
    </row>
    <row r="280" spans="1:4" x14ac:dyDescent="0.3">
      <c r="A280" t="s">
        <v>329</v>
      </c>
      <c r="B280">
        <v>100864</v>
      </c>
      <c r="C280" t="s">
        <v>327</v>
      </c>
      <c r="D280" t="s">
        <v>327</v>
      </c>
    </row>
    <row r="281" spans="1:4" x14ac:dyDescent="0.3">
      <c r="A281" t="s">
        <v>330</v>
      </c>
      <c r="B281">
        <v>100865</v>
      </c>
      <c r="C281" t="s">
        <v>322</v>
      </c>
      <c r="D281" t="s">
        <v>322</v>
      </c>
    </row>
    <row r="282" spans="1:4" x14ac:dyDescent="0.3">
      <c r="A282" t="s">
        <v>330</v>
      </c>
      <c r="B282">
        <v>100865</v>
      </c>
      <c r="C282" t="s">
        <v>323</v>
      </c>
      <c r="D282" t="s">
        <v>323</v>
      </c>
    </row>
    <row r="283" spans="1:4" x14ac:dyDescent="0.3">
      <c r="A283" t="s">
        <v>330</v>
      </c>
      <c r="B283">
        <v>100865</v>
      </c>
      <c r="C283" t="s">
        <v>324</v>
      </c>
      <c r="D283" t="s">
        <v>324</v>
      </c>
    </row>
    <row r="284" spans="1:4" x14ac:dyDescent="0.3">
      <c r="A284" t="s">
        <v>330</v>
      </c>
      <c r="B284">
        <v>100865</v>
      </c>
      <c r="C284" t="s">
        <v>325</v>
      </c>
      <c r="D284" t="s">
        <v>325</v>
      </c>
    </row>
    <row r="285" spans="1:4" x14ac:dyDescent="0.3">
      <c r="A285" t="s">
        <v>330</v>
      </c>
      <c r="B285">
        <v>100865</v>
      </c>
      <c r="C285" t="s">
        <v>326</v>
      </c>
      <c r="D285" t="s">
        <v>326</v>
      </c>
    </row>
    <row r="286" spans="1:4" x14ac:dyDescent="0.3">
      <c r="A286" t="s">
        <v>330</v>
      </c>
      <c r="B286">
        <v>100865</v>
      </c>
      <c r="C286" t="s">
        <v>299</v>
      </c>
      <c r="D286" t="s">
        <v>299</v>
      </c>
    </row>
    <row r="287" spans="1:4" x14ac:dyDescent="0.3">
      <c r="A287" t="s">
        <v>330</v>
      </c>
      <c r="B287">
        <v>100865</v>
      </c>
      <c r="C287" t="s">
        <v>327</v>
      </c>
      <c r="D287" t="s">
        <v>327</v>
      </c>
    </row>
    <row r="288" spans="1:4" x14ac:dyDescent="0.3">
      <c r="A288" t="s">
        <v>331</v>
      </c>
      <c r="B288">
        <v>100866</v>
      </c>
      <c r="C288" t="s">
        <v>322</v>
      </c>
      <c r="D288" t="s">
        <v>322</v>
      </c>
    </row>
    <row r="289" spans="1:4" x14ac:dyDescent="0.3">
      <c r="A289" t="s">
        <v>331</v>
      </c>
      <c r="B289">
        <v>100866</v>
      </c>
      <c r="C289" t="s">
        <v>323</v>
      </c>
      <c r="D289" t="s">
        <v>323</v>
      </c>
    </row>
    <row r="290" spans="1:4" x14ac:dyDescent="0.3">
      <c r="A290" t="s">
        <v>331</v>
      </c>
      <c r="B290">
        <v>100866</v>
      </c>
      <c r="C290" t="s">
        <v>324</v>
      </c>
      <c r="D290" t="s">
        <v>324</v>
      </c>
    </row>
    <row r="291" spans="1:4" x14ac:dyDescent="0.3">
      <c r="A291" t="s">
        <v>331</v>
      </c>
      <c r="B291">
        <v>100866</v>
      </c>
      <c r="C291" t="s">
        <v>325</v>
      </c>
      <c r="D291" t="s">
        <v>325</v>
      </c>
    </row>
    <row r="292" spans="1:4" x14ac:dyDescent="0.3">
      <c r="A292" t="s">
        <v>331</v>
      </c>
      <c r="B292">
        <v>100866</v>
      </c>
      <c r="C292" t="s">
        <v>326</v>
      </c>
      <c r="D292" t="s">
        <v>326</v>
      </c>
    </row>
    <row r="293" spans="1:4" x14ac:dyDescent="0.3">
      <c r="A293" t="s">
        <v>331</v>
      </c>
      <c r="B293">
        <v>100866</v>
      </c>
      <c r="C293" t="s">
        <v>299</v>
      </c>
      <c r="D293" t="s">
        <v>299</v>
      </c>
    </row>
    <row r="294" spans="1:4" x14ac:dyDescent="0.3">
      <c r="A294" t="s">
        <v>331</v>
      </c>
      <c r="B294">
        <v>100866</v>
      </c>
      <c r="C294" t="s">
        <v>327</v>
      </c>
      <c r="D294" t="s">
        <v>327</v>
      </c>
    </row>
    <row r="295" spans="1:4" x14ac:dyDescent="0.3">
      <c r="A295" t="s">
        <v>332</v>
      </c>
      <c r="B295">
        <v>100867</v>
      </c>
      <c r="C295" t="s">
        <v>322</v>
      </c>
      <c r="D295" t="s">
        <v>322</v>
      </c>
    </row>
    <row r="296" spans="1:4" x14ac:dyDescent="0.3">
      <c r="A296" t="s">
        <v>332</v>
      </c>
      <c r="B296">
        <v>100867</v>
      </c>
      <c r="C296" t="s">
        <v>323</v>
      </c>
      <c r="D296" t="s">
        <v>323</v>
      </c>
    </row>
    <row r="297" spans="1:4" x14ac:dyDescent="0.3">
      <c r="A297" t="s">
        <v>332</v>
      </c>
      <c r="B297">
        <v>100867</v>
      </c>
      <c r="C297" t="s">
        <v>324</v>
      </c>
      <c r="D297" t="s">
        <v>324</v>
      </c>
    </row>
    <row r="298" spans="1:4" x14ac:dyDescent="0.3">
      <c r="A298" t="s">
        <v>332</v>
      </c>
      <c r="B298">
        <v>100867</v>
      </c>
      <c r="C298" t="s">
        <v>325</v>
      </c>
      <c r="D298" t="s">
        <v>325</v>
      </c>
    </row>
    <row r="299" spans="1:4" x14ac:dyDescent="0.3">
      <c r="A299" t="s">
        <v>332</v>
      </c>
      <c r="B299">
        <v>100867</v>
      </c>
      <c r="C299" t="s">
        <v>326</v>
      </c>
      <c r="D299" t="s">
        <v>326</v>
      </c>
    </row>
    <row r="300" spans="1:4" x14ac:dyDescent="0.3">
      <c r="A300" t="s">
        <v>332</v>
      </c>
      <c r="B300">
        <v>100867</v>
      </c>
      <c r="C300" t="s">
        <v>299</v>
      </c>
      <c r="D300" t="s">
        <v>299</v>
      </c>
    </row>
    <row r="301" spans="1:4" x14ac:dyDescent="0.3">
      <c r="A301" t="s">
        <v>332</v>
      </c>
      <c r="B301">
        <v>100867</v>
      </c>
      <c r="C301" t="s">
        <v>327</v>
      </c>
      <c r="D301" t="s">
        <v>327</v>
      </c>
    </row>
    <row r="302" spans="1:4" x14ac:dyDescent="0.3">
      <c r="A302" t="s">
        <v>333</v>
      </c>
      <c r="B302">
        <v>100868</v>
      </c>
      <c r="C302" t="s">
        <v>322</v>
      </c>
      <c r="D302" t="s">
        <v>322</v>
      </c>
    </row>
    <row r="303" spans="1:4" x14ac:dyDescent="0.3">
      <c r="A303" t="s">
        <v>333</v>
      </c>
      <c r="B303">
        <v>100868</v>
      </c>
      <c r="C303" t="s">
        <v>323</v>
      </c>
      <c r="D303" t="s">
        <v>323</v>
      </c>
    </row>
    <row r="304" spans="1:4" x14ac:dyDescent="0.3">
      <c r="A304" t="s">
        <v>333</v>
      </c>
      <c r="B304">
        <v>100868</v>
      </c>
      <c r="C304" t="s">
        <v>324</v>
      </c>
      <c r="D304" t="s">
        <v>324</v>
      </c>
    </row>
    <row r="305" spans="1:4" x14ac:dyDescent="0.3">
      <c r="A305" t="s">
        <v>333</v>
      </c>
      <c r="B305">
        <v>100868</v>
      </c>
      <c r="C305" t="s">
        <v>325</v>
      </c>
      <c r="D305" t="s">
        <v>325</v>
      </c>
    </row>
    <row r="306" spans="1:4" x14ac:dyDescent="0.3">
      <c r="A306" t="s">
        <v>333</v>
      </c>
      <c r="B306">
        <v>100868</v>
      </c>
      <c r="C306" t="s">
        <v>326</v>
      </c>
      <c r="D306" t="s">
        <v>326</v>
      </c>
    </row>
    <row r="307" spans="1:4" x14ac:dyDescent="0.3">
      <c r="A307" t="s">
        <v>333</v>
      </c>
      <c r="B307">
        <v>100868</v>
      </c>
      <c r="C307" t="s">
        <v>299</v>
      </c>
      <c r="D307" t="s">
        <v>299</v>
      </c>
    </row>
    <row r="308" spans="1:4" x14ac:dyDescent="0.3">
      <c r="A308" t="s">
        <v>333</v>
      </c>
      <c r="B308">
        <v>100868</v>
      </c>
      <c r="C308" t="s">
        <v>327</v>
      </c>
      <c r="D308" t="s">
        <v>327</v>
      </c>
    </row>
    <row r="309" spans="1:4" x14ac:dyDescent="0.3">
      <c r="A309" t="s">
        <v>334</v>
      </c>
      <c r="B309">
        <v>100869</v>
      </c>
      <c r="C309" t="s">
        <v>322</v>
      </c>
      <c r="D309" t="s">
        <v>322</v>
      </c>
    </row>
    <row r="310" spans="1:4" x14ac:dyDescent="0.3">
      <c r="A310" t="s">
        <v>334</v>
      </c>
      <c r="B310">
        <v>100869</v>
      </c>
      <c r="C310" t="s">
        <v>323</v>
      </c>
      <c r="D310" t="s">
        <v>323</v>
      </c>
    </row>
    <row r="311" spans="1:4" x14ac:dyDescent="0.3">
      <c r="A311" t="s">
        <v>334</v>
      </c>
      <c r="B311">
        <v>100869</v>
      </c>
      <c r="C311" t="s">
        <v>324</v>
      </c>
      <c r="D311" t="s">
        <v>324</v>
      </c>
    </row>
    <row r="312" spans="1:4" x14ac:dyDescent="0.3">
      <c r="A312" t="s">
        <v>334</v>
      </c>
      <c r="B312">
        <v>100869</v>
      </c>
      <c r="C312" t="s">
        <v>325</v>
      </c>
      <c r="D312" t="s">
        <v>325</v>
      </c>
    </row>
    <row r="313" spans="1:4" x14ac:dyDescent="0.3">
      <c r="A313" t="s">
        <v>334</v>
      </c>
      <c r="B313">
        <v>100869</v>
      </c>
      <c r="C313" t="s">
        <v>326</v>
      </c>
      <c r="D313" t="s">
        <v>326</v>
      </c>
    </row>
    <row r="314" spans="1:4" x14ac:dyDescent="0.3">
      <c r="A314" t="s">
        <v>334</v>
      </c>
      <c r="B314">
        <v>100869</v>
      </c>
      <c r="C314" t="s">
        <v>299</v>
      </c>
      <c r="D314" t="s">
        <v>299</v>
      </c>
    </row>
    <row r="315" spans="1:4" x14ac:dyDescent="0.3">
      <c r="A315" t="s">
        <v>334</v>
      </c>
      <c r="B315">
        <v>100869</v>
      </c>
      <c r="C315" t="s">
        <v>327</v>
      </c>
      <c r="D315" t="s">
        <v>327</v>
      </c>
    </row>
    <row r="316" spans="1:4" x14ac:dyDescent="0.3">
      <c r="A316" t="s">
        <v>335</v>
      </c>
      <c r="B316">
        <v>100870</v>
      </c>
      <c r="C316" t="s">
        <v>322</v>
      </c>
      <c r="D316" t="s">
        <v>322</v>
      </c>
    </row>
    <row r="317" spans="1:4" x14ac:dyDescent="0.3">
      <c r="A317" t="s">
        <v>335</v>
      </c>
      <c r="B317">
        <v>100870</v>
      </c>
      <c r="C317" t="s">
        <v>323</v>
      </c>
      <c r="D317" t="s">
        <v>323</v>
      </c>
    </row>
    <row r="318" spans="1:4" x14ac:dyDescent="0.3">
      <c r="A318" t="s">
        <v>335</v>
      </c>
      <c r="B318">
        <v>100870</v>
      </c>
      <c r="C318" t="s">
        <v>324</v>
      </c>
      <c r="D318" t="s">
        <v>324</v>
      </c>
    </row>
    <row r="319" spans="1:4" x14ac:dyDescent="0.3">
      <c r="A319" t="s">
        <v>335</v>
      </c>
      <c r="B319">
        <v>100870</v>
      </c>
      <c r="C319" t="s">
        <v>325</v>
      </c>
      <c r="D319" t="s">
        <v>325</v>
      </c>
    </row>
    <row r="320" spans="1:4" x14ac:dyDescent="0.3">
      <c r="A320" t="s">
        <v>335</v>
      </c>
      <c r="B320">
        <v>100870</v>
      </c>
      <c r="C320" t="s">
        <v>326</v>
      </c>
      <c r="D320" t="s">
        <v>326</v>
      </c>
    </row>
    <row r="321" spans="1:4" x14ac:dyDescent="0.3">
      <c r="A321" t="s">
        <v>335</v>
      </c>
      <c r="B321">
        <v>100870</v>
      </c>
      <c r="C321" t="s">
        <v>299</v>
      </c>
      <c r="D321" t="s">
        <v>299</v>
      </c>
    </row>
    <row r="322" spans="1:4" x14ac:dyDescent="0.3">
      <c r="A322" t="s">
        <v>335</v>
      </c>
      <c r="B322">
        <v>100870</v>
      </c>
      <c r="C322" t="s">
        <v>327</v>
      </c>
      <c r="D322" t="s">
        <v>327</v>
      </c>
    </row>
    <row r="323" spans="1:4" x14ac:dyDescent="0.3">
      <c r="A323" t="s">
        <v>336</v>
      </c>
      <c r="B323">
        <v>100871</v>
      </c>
      <c r="C323" t="s">
        <v>322</v>
      </c>
      <c r="D323" t="s">
        <v>322</v>
      </c>
    </row>
    <row r="324" spans="1:4" x14ac:dyDescent="0.3">
      <c r="A324" t="s">
        <v>336</v>
      </c>
      <c r="B324">
        <v>100871</v>
      </c>
      <c r="C324" t="s">
        <v>323</v>
      </c>
      <c r="D324" t="s">
        <v>323</v>
      </c>
    </row>
    <row r="325" spans="1:4" x14ac:dyDescent="0.3">
      <c r="A325" t="s">
        <v>336</v>
      </c>
      <c r="B325">
        <v>100871</v>
      </c>
      <c r="C325" t="s">
        <v>324</v>
      </c>
      <c r="D325" t="s">
        <v>324</v>
      </c>
    </row>
    <row r="326" spans="1:4" x14ac:dyDescent="0.3">
      <c r="A326" t="s">
        <v>336</v>
      </c>
      <c r="B326">
        <v>100871</v>
      </c>
      <c r="C326" t="s">
        <v>325</v>
      </c>
      <c r="D326" t="s">
        <v>325</v>
      </c>
    </row>
    <row r="327" spans="1:4" x14ac:dyDescent="0.3">
      <c r="A327" t="s">
        <v>336</v>
      </c>
      <c r="B327">
        <v>100871</v>
      </c>
      <c r="C327" t="s">
        <v>326</v>
      </c>
      <c r="D327" t="s">
        <v>326</v>
      </c>
    </row>
    <row r="328" spans="1:4" x14ac:dyDescent="0.3">
      <c r="A328" t="s">
        <v>336</v>
      </c>
      <c r="B328">
        <v>100871</v>
      </c>
      <c r="C328" t="s">
        <v>299</v>
      </c>
      <c r="D328" t="s">
        <v>299</v>
      </c>
    </row>
    <row r="329" spans="1:4" x14ac:dyDescent="0.3">
      <c r="A329" t="s">
        <v>336</v>
      </c>
      <c r="B329">
        <v>100871</v>
      </c>
      <c r="C329" t="s">
        <v>327</v>
      </c>
      <c r="D329" t="s">
        <v>327</v>
      </c>
    </row>
    <row r="330" spans="1:4" x14ac:dyDescent="0.3">
      <c r="A330" t="s">
        <v>337</v>
      </c>
      <c r="B330">
        <v>100872</v>
      </c>
      <c r="C330" t="s">
        <v>322</v>
      </c>
      <c r="D330" t="s">
        <v>322</v>
      </c>
    </row>
    <row r="331" spans="1:4" x14ac:dyDescent="0.3">
      <c r="A331" t="s">
        <v>337</v>
      </c>
      <c r="B331">
        <v>100872</v>
      </c>
      <c r="C331" t="s">
        <v>323</v>
      </c>
      <c r="D331" t="s">
        <v>323</v>
      </c>
    </row>
    <row r="332" spans="1:4" x14ac:dyDescent="0.3">
      <c r="A332" t="s">
        <v>337</v>
      </c>
      <c r="B332">
        <v>100872</v>
      </c>
      <c r="C332" t="s">
        <v>324</v>
      </c>
      <c r="D332" t="s">
        <v>324</v>
      </c>
    </row>
    <row r="333" spans="1:4" x14ac:dyDescent="0.3">
      <c r="A333" t="s">
        <v>337</v>
      </c>
      <c r="B333">
        <v>100872</v>
      </c>
      <c r="C333" t="s">
        <v>325</v>
      </c>
      <c r="D333" t="s">
        <v>325</v>
      </c>
    </row>
    <row r="334" spans="1:4" x14ac:dyDescent="0.3">
      <c r="A334" t="s">
        <v>337</v>
      </c>
      <c r="B334">
        <v>100872</v>
      </c>
      <c r="C334" t="s">
        <v>326</v>
      </c>
      <c r="D334" t="s">
        <v>326</v>
      </c>
    </row>
    <row r="335" spans="1:4" x14ac:dyDescent="0.3">
      <c r="A335" t="s">
        <v>337</v>
      </c>
      <c r="B335">
        <v>100872</v>
      </c>
      <c r="C335" t="s">
        <v>299</v>
      </c>
      <c r="D335" t="s">
        <v>299</v>
      </c>
    </row>
    <row r="336" spans="1:4" x14ac:dyDescent="0.3">
      <c r="A336" t="s">
        <v>337</v>
      </c>
      <c r="B336">
        <v>100872</v>
      </c>
      <c r="C336" t="s">
        <v>327</v>
      </c>
      <c r="D336" t="s">
        <v>327</v>
      </c>
    </row>
    <row r="337" spans="1:4" x14ac:dyDescent="0.3">
      <c r="A337" t="s">
        <v>338</v>
      </c>
      <c r="B337">
        <v>100873</v>
      </c>
      <c r="C337" t="s">
        <v>299</v>
      </c>
      <c r="D337" t="s">
        <v>299</v>
      </c>
    </row>
    <row r="338" spans="1:4" x14ac:dyDescent="0.3">
      <c r="A338" t="s">
        <v>338</v>
      </c>
      <c r="B338">
        <v>100873</v>
      </c>
      <c r="C338" t="s">
        <v>339</v>
      </c>
      <c r="D338" t="s">
        <v>339</v>
      </c>
    </row>
    <row r="339" spans="1:4" x14ac:dyDescent="0.3">
      <c r="A339" t="s">
        <v>338</v>
      </c>
      <c r="B339">
        <v>100873</v>
      </c>
      <c r="C339" t="s">
        <v>340</v>
      </c>
      <c r="D339" t="s">
        <v>340</v>
      </c>
    </row>
    <row r="340" spans="1:4" x14ac:dyDescent="0.3">
      <c r="A340" t="s">
        <v>338</v>
      </c>
      <c r="B340">
        <v>100873</v>
      </c>
      <c r="C340" t="s">
        <v>341</v>
      </c>
      <c r="D340" t="s">
        <v>341</v>
      </c>
    </row>
    <row r="341" spans="1:4" x14ac:dyDescent="0.3">
      <c r="A341" t="s">
        <v>338</v>
      </c>
      <c r="B341">
        <v>100873</v>
      </c>
      <c r="C341" t="s">
        <v>342</v>
      </c>
      <c r="D341" t="s">
        <v>342</v>
      </c>
    </row>
    <row r="342" spans="1:4" x14ac:dyDescent="0.3">
      <c r="A342" t="s">
        <v>338</v>
      </c>
      <c r="B342">
        <v>100873</v>
      </c>
      <c r="C342" t="s">
        <v>343</v>
      </c>
      <c r="D342" t="s">
        <v>343</v>
      </c>
    </row>
    <row r="343" spans="1:4" x14ac:dyDescent="0.3">
      <c r="A343" t="s">
        <v>338</v>
      </c>
      <c r="B343">
        <v>100873</v>
      </c>
      <c r="C343" t="s">
        <v>344</v>
      </c>
      <c r="D343" t="s">
        <v>344</v>
      </c>
    </row>
    <row r="344" spans="1:4" x14ac:dyDescent="0.3">
      <c r="A344" t="s">
        <v>338</v>
      </c>
      <c r="B344">
        <v>100873</v>
      </c>
      <c r="C344" t="s">
        <v>345</v>
      </c>
      <c r="D344" t="s">
        <v>345</v>
      </c>
    </row>
    <row r="345" spans="1:4" x14ac:dyDescent="0.3">
      <c r="A345" t="s">
        <v>338</v>
      </c>
      <c r="B345">
        <v>100873</v>
      </c>
      <c r="C345" t="s">
        <v>346</v>
      </c>
      <c r="D345" t="s">
        <v>346</v>
      </c>
    </row>
    <row r="346" spans="1:4" x14ac:dyDescent="0.3">
      <c r="A346" t="s">
        <v>338</v>
      </c>
      <c r="B346">
        <v>100873</v>
      </c>
      <c r="C346" t="s">
        <v>347</v>
      </c>
      <c r="D346" t="s">
        <v>347</v>
      </c>
    </row>
    <row r="347" spans="1:4" x14ac:dyDescent="0.3">
      <c r="A347" t="s">
        <v>338</v>
      </c>
      <c r="B347">
        <v>100873</v>
      </c>
      <c r="C347" t="s">
        <v>348</v>
      </c>
      <c r="D347" t="s">
        <v>348</v>
      </c>
    </row>
    <row r="348" spans="1:4" x14ac:dyDescent="0.3">
      <c r="A348" t="s">
        <v>349</v>
      </c>
      <c r="B348">
        <v>100874</v>
      </c>
      <c r="C348" t="s">
        <v>299</v>
      </c>
      <c r="D348" t="s">
        <v>299</v>
      </c>
    </row>
    <row r="349" spans="1:4" x14ac:dyDescent="0.3">
      <c r="A349" t="s">
        <v>349</v>
      </c>
      <c r="B349">
        <v>100874</v>
      </c>
      <c r="C349" t="s">
        <v>350</v>
      </c>
      <c r="D349" t="s">
        <v>350</v>
      </c>
    </row>
    <row r="350" spans="1:4" x14ac:dyDescent="0.3">
      <c r="A350" t="s">
        <v>349</v>
      </c>
      <c r="B350">
        <v>100874</v>
      </c>
      <c r="C350" t="s">
        <v>351</v>
      </c>
      <c r="D350" t="s">
        <v>351</v>
      </c>
    </row>
    <row r="351" spans="1:4" x14ac:dyDescent="0.3">
      <c r="A351" t="s">
        <v>349</v>
      </c>
      <c r="B351">
        <v>100874</v>
      </c>
      <c r="C351" t="s">
        <v>352</v>
      </c>
      <c r="D351" t="s">
        <v>352</v>
      </c>
    </row>
    <row r="352" spans="1:4" x14ac:dyDescent="0.3">
      <c r="A352" t="s">
        <v>349</v>
      </c>
      <c r="B352">
        <v>100874</v>
      </c>
      <c r="C352" t="s">
        <v>353</v>
      </c>
      <c r="D352" t="s">
        <v>353</v>
      </c>
    </row>
    <row r="353" spans="1:4" x14ac:dyDescent="0.3">
      <c r="A353" t="s">
        <v>349</v>
      </c>
      <c r="B353">
        <v>100874</v>
      </c>
      <c r="C353" t="s">
        <v>354</v>
      </c>
      <c r="D353" t="s">
        <v>354</v>
      </c>
    </row>
    <row r="354" spans="1:4" x14ac:dyDescent="0.3">
      <c r="A354" t="s">
        <v>349</v>
      </c>
      <c r="B354">
        <v>100874</v>
      </c>
      <c r="C354" t="s">
        <v>355</v>
      </c>
      <c r="D354" t="s">
        <v>355</v>
      </c>
    </row>
    <row r="355" spans="1:4" x14ac:dyDescent="0.3">
      <c r="A355" t="s">
        <v>349</v>
      </c>
      <c r="B355">
        <v>100874</v>
      </c>
      <c r="C355" t="s">
        <v>356</v>
      </c>
      <c r="D355" t="s">
        <v>356</v>
      </c>
    </row>
    <row r="356" spans="1:4" x14ac:dyDescent="0.3">
      <c r="A356" t="s">
        <v>349</v>
      </c>
      <c r="B356">
        <v>100874</v>
      </c>
      <c r="C356" t="s">
        <v>357</v>
      </c>
      <c r="D356" t="s">
        <v>357</v>
      </c>
    </row>
    <row r="357" spans="1:4" x14ac:dyDescent="0.3">
      <c r="A357" t="s">
        <v>349</v>
      </c>
      <c r="B357">
        <v>100874</v>
      </c>
      <c r="C357" t="s">
        <v>358</v>
      </c>
      <c r="D357" t="s">
        <v>358</v>
      </c>
    </row>
    <row r="358" spans="1:4" x14ac:dyDescent="0.3">
      <c r="A358" t="s">
        <v>359</v>
      </c>
      <c r="B358">
        <v>100875</v>
      </c>
      <c r="C358" t="s">
        <v>299</v>
      </c>
      <c r="D358" t="s">
        <v>299</v>
      </c>
    </row>
    <row r="359" spans="1:4" x14ac:dyDescent="0.3">
      <c r="A359" t="s">
        <v>359</v>
      </c>
      <c r="B359">
        <v>100875</v>
      </c>
      <c r="C359" t="s">
        <v>360</v>
      </c>
      <c r="D359" t="s">
        <v>360</v>
      </c>
    </row>
    <row r="360" spans="1:4" x14ac:dyDescent="0.3">
      <c r="A360" t="s">
        <v>359</v>
      </c>
      <c r="B360">
        <v>100875</v>
      </c>
      <c r="C360" t="s">
        <v>361</v>
      </c>
      <c r="D360" t="s">
        <v>361</v>
      </c>
    </row>
    <row r="361" spans="1:4" x14ac:dyDescent="0.3">
      <c r="A361" t="s">
        <v>359</v>
      </c>
      <c r="B361">
        <v>100875</v>
      </c>
      <c r="C361" t="s">
        <v>362</v>
      </c>
      <c r="D361" t="s">
        <v>362</v>
      </c>
    </row>
    <row r="362" spans="1:4" x14ac:dyDescent="0.3">
      <c r="A362" t="s">
        <v>359</v>
      </c>
      <c r="B362">
        <v>100875</v>
      </c>
      <c r="C362" t="s">
        <v>363</v>
      </c>
      <c r="D362" t="s">
        <v>363</v>
      </c>
    </row>
    <row r="363" spans="1:4" x14ac:dyDescent="0.3">
      <c r="A363" t="s">
        <v>359</v>
      </c>
      <c r="B363">
        <v>100875</v>
      </c>
      <c r="C363" t="s">
        <v>364</v>
      </c>
      <c r="D363" t="s">
        <v>364</v>
      </c>
    </row>
    <row r="364" spans="1:4" x14ac:dyDescent="0.3">
      <c r="A364" t="s">
        <v>359</v>
      </c>
      <c r="B364">
        <v>100875</v>
      </c>
      <c r="C364" t="s">
        <v>365</v>
      </c>
      <c r="D364" t="s">
        <v>365</v>
      </c>
    </row>
    <row r="365" spans="1:4" x14ac:dyDescent="0.3">
      <c r="A365" t="s">
        <v>359</v>
      </c>
      <c r="B365">
        <v>100875</v>
      </c>
      <c r="C365" t="s">
        <v>366</v>
      </c>
      <c r="D365" t="s">
        <v>366</v>
      </c>
    </row>
    <row r="366" spans="1:4" x14ac:dyDescent="0.3">
      <c r="A366" t="s">
        <v>359</v>
      </c>
      <c r="B366">
        <v>100875</v>
      </c>
      <c r="C366" t="s">
        <v>367</v>
      </c>
      <c r="D366" t="s">
        <v>367</v>
      </c>
    </row>
    <row r="367" spans="1:4" x14ac:dyDescent="0.3">
      <c r="A367" t="s">
        <v>359</v>
      </c>
      <c r="B367">
        <v>100875</v>
      </c>
      <c r="C367" t="s">
        <v>368</v>
      </c>
      <c r="D367" t="s">
        <v>368</v>
      </c>
    </row>
    <row r="368" spans="1:4" x14ac:dyDescent="0.3">
      <c r="A368" t="s">
        <v>369</v>
      </c>
      <c r="B368">
        <v>100876</v>
      </c>
      <c r="C368" t="s">
        <v>370</v>
      </c>
      <c r="D368" t="s">
        <v>370</v>
      </c>
    </row>
    <row r="369" spans="1:4" x14ac:dyDescent="0.3">
      <c r="A369" t="s">
        <v>369</v>
      </c>
      <c r="B369">
        <v>100876</v>
      </c>
      <c r="C369" t="s">
        <v>371</v>
      </c>
      <c r="D369" t="s">
        <v>371</v>
      </c>
    </row>
    <row r="370" spans="1:4" x14ac:dyDescent="0.3">
      <c r="A370" t="s">
        <v>369</v>
      </c>
      <c r="B370">
        <v>100876</v>
      </c>
      <c r="C370" t="s">
        <v>372</v>
      </c>
      <c r="D370" t="s">
        <v>372</v>
      </c>
    </row>
    <row r="371" spans="1:4" x14ac:dyDescent="0.3">
      <c r="A371" t="s">
        <v>369</v>
      </c>
      <c r="B371">
        <v>100876</v>
      </c>
      <c r="C371" t="s">
        <v>373</v>
      </c>
      <c r="D371" t="s">
        <v>373</v>
      </c>
    </row>
    <row r="372" spans="1:4" x14ac:dyDescent="0.3">
      <c r="A372" t="s">
        <v>369</v>
      </c>
      <c r="B372">
        <v>100876</v>
      </c>
      <c r="C372" t="s">
        <v>374</v>
      </c>
      <c r="D372" t="s">
        <v>374</v>
      </c>
    </row>
    <row r="373" spans="1:4" x14ac:dyDescent="0.3">
      <c r="A373" t="s">
        <v>369</v>
      </c>
      <c r="B373">
        <v>100876</v>
      </c>
      <c r="C373" t="s">
        <v>375</v>
      </c>
      <c r="D373" t="s">
        <v>375</v>
      </c>
    </row>
    <row r="374" spans="1:4" x14ac:dyDescent="0.3">
      <c r="A374" t="s">
        <v>369</v>
      </c>
      <c r="B374">
        <v>100876</v>
      </c>
      <c r="C374" t="s">
        <v>131</v>
      </c>
      <c r="D374" t="s">
        <v>376</v>
      </c>
    </row>
    <row r="375" spans="1:4" x14ac:dyDescent="0.3">
      <c r="A375" t="s">
        <v>369</v>
      </c>
      <c r="B375">
        <v>100876</v>
      </c>
      <c r="C375" t="s">
        <v>377</v>
      </c>
      <c r="D375" t="s">
        <v>377</v>
      </c>
    </row>
    <row r="376" spans="1:4" x14ac:dyDescent="0.3">
      <c r="A376" t="s">
        <v>369</v>
      </c>
      <c r="B376">
        <v>100876</v>
      </c>
      <c r="C376" t="s">
        <v>154</v>
      </c>
      <c r="D376" t="s">
        <v>378</v>
      </c>
    </row>
    <row r="377" spans="1:4" x14ac:dyDescent="0.3">
      <c r="A377" t="s">
        <v>369</v>
      </c>
      <c r="B377">
        <v>100876</v>
      </c>
      <c r="C377" t="s">
        <v>155</v>
      </c>
      <c r="D377" t="s">
        <v>155</v>
      </c>
    </row>
    <row r="378" spans="1:4" x14ac:dyDescent="0.3">
      <c r="A378" t="s">
        <v>369</v>
      </c>
      <c r="B378">
        <v>100876</v>
      </c>
      <c r="C378" t="s">
        <v>379</v>
      </c>
      <c r="D378" t="s">
        <v>379</v>
      </c>
    </row>
    <row r="379" spans="1:4" x14ac:dyDescent="0.3">
      <c r="A379" t="s">
        <v>369</v>
      </c>
      <c r="B379">
        <v>100876</v>
      </c>
      <c r="C379" t="s">
        <v>380</v>
      </c>
      <c r="D379" t="s">
        <v>380</v>
      </c>
    </row>
    <row r="380" spans="1:4" x14ac:dyDescent="0.3">
      <c r="A380" t="s">
        <v>369</v>
      </c>
      <c r="B380">
        <v>100876</v>
      </c>
      <c r="C380" t="s">
        <v>381</v>
      </c>
      <c r="D380" t="s">
        <v>381</v>
      </c>
    </row>
    <row r="381" spans="1:4" x14ac:dyDescent="0.3">
      <c r="A381" t="s">
        <v>369</v>
      </c>
      <c r="B381">
        <v>100876</v>
      </c>
      <c r="C381" t="s">
        <v>152</v>
      </c>
      <c r="D381" t="s">
        <v>152</v>
      </c>
    </row>
    <row r="382" spans="1:4" x14ac:dyDescent="0.3">
      <c r="A382" t="s">
        <v>369</v>
      </c>
      <c r="B382">
        <v>100876</v>
      </c>
      <c r="C382" t="s">
        <v>382</v>
      </c>
      <c r="D382" t="s">
        <v>382</v>
      </c>
    </row>
    <row r="383" spans="1:4" x14ac:dyDescent="0.3">
      <c r="A383" t="s">
        <v>369</v>
      </c>
      <c r="B383">
        <v>100876</v>
      </c>
      <c r="C383" t="s">
        <v>383</v>
      </c>
      <c r="D383" t="s">
        <v>383</v>
      </c>
    </row>
    <row r="384" spans="1:4" x14ac:dyDescent="0.3">
      <c r="A384" t="s">
        <v>369</v>
      </c>
      <c r="B384">
        <v>100876</v>
      </c>
      <c r="C384" t="s">
        <v>384</v>
      </c>
      <c r="D384" t="s">
        <v>384</v>
      </c>
    </row>
    <row r="385" spans="1:4" x14ac:dyDescent="0.3">
      <c r="A385" t="s">
        <v>369</v>
      </c>
      <c r="B385">
        <v>100876</v>
      </c>
      <c r="C385" t="s">
        <v>385</v>
      </c>
      <c r="D385" t="s">
        <v>385</v>
      </c>
    </row>
    <row r="386" spans="1:4" x14ac:dyDescent="0.3">
      <c r="A386" t="s">
        <v>369</v>
      </c>
      <c r="B386">
        <v>100876</v>
      </c>
      <c r="C386" t="s">
        <v>386</v>
      </c>
      <c r="D386" t="s">
        <v>386</v>
      </c>
    </row>
    <row r="387" spans="1:4" x14ac:dyDescent="0.3">
      <c r="A387" t="s">
        <v>387</v>
      </c>
      <c r="B387">
        <v>100877</v>
      </c>
      <c r="C387" t="s">
        <v>134</v>
      </c>
      <c r="D387" t="s">
        <v>134</v>
      </c>
    </row>
    <row r="388" spans="1:4" x14ac:dyDescent="0.3">
      <c r="A388" t="s">
        <v>387</v>
      </c>
      <c r="B388">
        <v>100877</v>
      </c>
      <c r="C388" t="s">
        <v>132</v>
      </c>
      <c r="D388" t="s">
        <v>132</v>
      </c>
    </row>
    <row r="389" spans="1:4" x14ac:dyDescent="0.3">
      <c r="A389" t="s">
        <v>387</v>
      </c>
      <c r="B389">
        <v>100877</v>
      </c>
      <c r="C389" t="s">
        <v>218</v>
      </c>
      <c r="D389" t="s">
        <v>218</v>
      </c>
    </row>
    <row r="390" spans="1:4" x14ac:dyDescent="0.3">
      <c r="A390" t="s">
        <v>387</v>
      </c>
      <c r="B390">
        <v>100877</v>
      </c>
      <c r="C390" t="s">
        <v>135</v>
      </c>
      <c r="D390" t="s">
        <v>135</v>
      </c>
    </row>
    <row r="391" spans="1:4" x14ac:dyDescent="0.3">
      <c r="A391" t="s">
        <v>387</v>
      </c>
      <c r="B391">
        <v>100877</v>
      </c>
      <c r="C391" t="s">
        <v>130</v>
      </c>
      <c r="D391" t="s">
        <v>130</v>
      </c>
    </row>
    <row r="392" spans="1:4" x14ac:dyDescent="0.3">
      <c r="A392" t="s">
        <v>388</v>
      </c>
      <c r="B392">
        <v>100878</v>
      </c>
      <c r="C392" t="s">
        <v>389</v>
      </c>
      <c r="D392" t="s">
        <v>119</v>
      </c>
    </row>
    <row r="393" spans="1:4" x14ac:dyDescent="0.3">
      <c r="A393" t="s">
        <v>388</v>
      </c>
      <c r="B393">
        <v>100878</v>
      </c>
      <c r="C393" t="s">
        <v>390</v>
      </c>
      <c r="D393" t="s">
        <v>124</v>
      </c>
    </row>
    <row r="394" spans="1:4" x14ac:dyDescent="0.3">
      <c r="A394" t="s">
        <v>388</v>
      </c>
      <c r="B394">
        <v>100878</v>
      </c>
      <c r="C394" t="s">
        <v>391</v>
      </c>
      <c r="D394" t="s">
        <v>122</v>
      </c>
    </row>
    <row r="395" spans="1:4" x14ac:dyDescent="0.3">
      <c r="A395" t="s">
        <v>388</v>
      </c>
      <c r="B395">
        <v>100878</v>
      </c>
      <c r="C395" t="s">
        <v>392</v>
      </c>
      <c r="D395" t="s">
        <v>178</v>
      </c>
    </row>
    <row r="396" spans="1:4" x14ac:dyDescent="0.3">
      <c r="A396" t="s">
        <v>393</v>
      </c>
      <c r="B396">
        <v>100067</v>
      </c>
      <c r="C396" t="s">
        <v>178</v>
      </c>
      <c r="D396" t="s">
        <v>178</v>
      </c>
    </row>
    <row r="397" spans="1:4" x14ac:dyDescent="0.3">
      <c r="A397" t="s">
        <v>393</v>
      </c>
      <c r="B397">
        <v>100879</v>
      </c>
      <c r="C397" t="s">
        <v>178</v>
      </c>
      <c r="D397" t="s">
        <v>178</v>
      </c>
    </row>
    <row r="398" spans="1:4" x14ac:dyDescent="0.3">
      <c r="A398" t="s">
        <v>393</v>
      </c>
      <c r="B398">
        <v>100067</v>
      </c>
      <c r="C398" t="s">
        <v>122</v>
      </c>
      <c r="D398" t="s">
        <v>122</v>
      </c>
    </row>
    <row r="399" spans="1:4" x14ac:dyDescent="0.3">
      <c r="A399" t="s">
        <v>393</v>
      </c>
      <c r="B399">
        <v>100879</v>
      </c>
      <c r="C399" t="s">
        <v>122</v>
      </c>
      <c r="D399" t="s">
        <v>122</v>
      </c>
    </row>
    <row r="400" spans="1:4" x14ac:dyDescent="0.3">
      <c r="A400" t="s">
        <v>393</v>
      </c>
      <c r="B400">
        <v>100067</v>
      </c>
      <c r="C400" t="s">
        <v>394</v>
      </c>
      <c r="D400" t="s">
        <v>394</v>
      </c>
    </row>
    <row r="401" spans="1:4" x14ac:dyDescent="0.3">
      <c r="A401" t="s">
        <v>393</v>
      </c>
      <c r="B401">
        <v>100879</v>
      </c>
      <c r="C401" t="s">
        <v>394</v>
      </c>
      <c r="D401" t="s">
        <v>394</v>
      </c>
    </row>
    <row r="402" spans="1:4" x14ac:dyDescent="0.3">
      <c r="A402" t="s">
        <v>393</v>
      </c>
      <c r="B402">
        <v>100067</v>
      </c>
      <c r="C402" t="s">
        <v>395</v>
      </c>
      <c r="D402" t="s">
        <v>395</v>
      </c>
    </row>
    <row r="403" spans="1:4" x14ac:dyDescent="0.3">
      <c r="A403" t="s">
        <v>393</v>
      </c>
      <c r="B403">
        <v>100879</v>
      </c>
      <c r="C403" t="s">
        <v>395</v>
      </c>
      <c r="D403" t="s">
        <v>395</v>
      </c>
    </row>
    <row r="404" spans="1:4" x14ac:dyDescent="0.3">
      <c r="A404" t="s">
        <v>393</v>
      </c>
      <c r="B404">
        <v>100067</v>
      </c>
      <c r="C404" t="s">
        <v>396</v>
      </c>
      <c r="D404" t="s">
        <v>396</v>
      </c>
    </row>
    <row r="405" spans="1:4" x14ac:dyDescent="0.3">
      <c r="A405" t="s">
        <v>393</v>
      </c>
      <c r="B405">
        <v>100879</v>
      </c>
      <c r="C405" t="s">
        <v>396</v>
      </c>
      <c r="D405" t="s">
        <v>396</v>
      </c>
    </row>
    <row r="406" spans="1:4" x14ac:dyDescent="0.3">
      <c r="A406" t="s">
        <v>397</v>
      </c>
      <c r="B406">
        <v>100880</v>
      </c>
      <c r="C406" t="s">
        <v>192</v>
      </c>
      <c r="D406" t="s">
        <v>192</v>
      </c>
    </row>
    <row r="407" spans="1:4" x14ac:dyDescent="0.3">
      <c r="A407" t="s">
        <v>397</v>
      </c>
      <c r="B407">
        <v>100880</v>
      </c>
      <c r="C407" t="s">
        <v>119</v>
      </c>
      <c r="D407" t="s">
        <v>119</v>
      </c>
    </row>
    <row r="408" spans="1:4" x14ac:dyDescent="0.3">
      <c r="A408" t="s">
        <v>397</v>
      </c>
      <c r="B408">
        <v>100880</v>
      </c>
      <c r="C408" t="s">
        <v>124</v>
      </c>
      <c r="D408" t="s">
        <v>124</v>
      </c>
    </row>
    <row r="409" spans="1:4" x14ac:dyDescent="0.3">
      <c r="A409" t="s">
        <v>397</v>
      </c>
      <c r="B409">
        <v>100880</v>
      </c>
      <c r="C409" t="s">
        <v>122</v>
      </c>
      <c r="D409" t="s">
        <v>122</v>
      </c>
    </row>
    <row r="410" spans="1:4" x14ac:dyDescent="0.3">
      <c r="A410" t="s">
        <v>397</v>
      </c>
      <c r="B410">
        <v>100880</v>
      </c>
      <c r="C410" t="s">
        <v>178</v>
      </c>
      <c r="D410" t="s">
        <v>178</v>
      </c>
    </row>
    <row r="411" spans="1:4" x14ac:dyDescent="0.3">
      <c r="A411" t="s">
        <v>398</v>
      </c>
      <c r="B411">
        <v>100881</v>
      </c>
      <c r="C411" t="s">
        <v>399</v>
      </c>
      <c r="D411" t="s">
        <v>194</v>
      </c>
    </row>
    <row r="412" spans="1:4" x14ac:dyDescent="0.3">
      <c r="A412" t="s">
        <v>398</v>
      </c>
      <c r="B412">
        <v>100881</v>
      </c>
      <c r="C412" t="s">
        <v>400</v>
      </c>
      <c r="D412" t="s">
        <v>195</v>
      </c>
    </row>
    <row r="413" spans="1:4" x14ac:dyDescent="0.3">
      <c r="A413" t="s">
        <v>398</v>
      </c>
      <c r="B413">
        <v>100881</v>
      </c>
      <c r="C413" t="s">
        <v>401</v>
      </c>
      <c r="D413" t="s">
        <v>196</v>
      </c>
    </row>
    <row r="414" spans="1:4" x14ac:dyDescent="0.3">
      <c r="A414" t="s">
        <v>398</v>
      </c>
      <c r="B414">
        <v>100881</v>
      </c>
      <c r="C414" t="s">
        <v>402</v>
      </c>
      <c r="D414" t="s">
        <v>197</v>
      </c>
    </row>
    <row r="415" spans="1:4" x14ac:dyDescent="0.3">
      <c r="A415" t="s">
        <v>398</v>
      </c>
      <c r="B415">
        <v>100881</v>
      </c>
      <c r="C415" t="s">
        <v>403</v>
      </c>
      <c r="D415" t="s">
        <v>198</v>
      </c>
    </row>
    <row r="416" spans="1:4" x14ac:dyDescent="0.3">
      <c r="A416" t="s">
        <v>404</v>
      </c>
      <c r="B416">
        <v>100882</v>
      </c>
      <c r="C416" t="s">
        <v>405</v>
      </c>
      <c r="D416" t="s">
        <v>178</v>
      </c>
    </row>
    <row r="417" spans="1:4" x14ac:dyDescent="0.3">
      <c r="A417" t="s">
        <v>404</v>
      </c>
      <c r="B417">
        <v>100882</v>
      </c>
      <c r="C417" t="s">
        <v>406</v>
      </c>
      <c r="D417" t="s">
        <v>122</v>
      </c>
    </row>
    <row r="418" spans="1:4" x14ac:dyDescent="0.3">
      <c r="A418" t="s">
        <v>404</v>
      </c>
      <c r="B418">
        <v>100882</v>
      </c>
      <c r="C418" t="s">
        <v>407</v>
      </c>
      <c r="D418" t="s">
        <v>124</v>
      </c>
    </row>
    <row r="419" spans="1:4" x14ac:dyDescent="0.3">
      <c r="A419" t="s">
        <v>404</v>
      </c>
      <c r="B419">
        <v>100882</v>
      </c>
      <c r="C419" t="s">
        <v>408</v>
      </c>
      <c r="D419" t="s">
        <v>119</v>
      </c>
    </row>
    <row r="420" spans="1:4" x14ac:dyDescent="0.3">
      <c r="A420" t="s">
        <v>404</v>
      </c>
      <c r="B420">
        <v>100882</v>
      </c>
      <c r="C420" t="s">
        <v>409</v>
      </c>
      <c r="D420" t="s">
        <v>194</v>
      </c>
    </row>
    <row r="421" spans="1:4" x14ac:dyDescent="0.3">
      <c r="A421" t="s">
        <v>410</v>
      </c>
      <c r="B421">
        <v>100883</v>
      </c>
      <c r="C421" t="s">
        <v>411</v>
      </c>
      <c r="D421" t="s">
        <v>119</v>
      </c>
    </row>
    <row r="422" spans="1:4" x14ac:dyDescent="0.3">
      <c r="A422" t="s">
        <v>410</v>
      </c>
      <c r="B422">
        <v>100883</v>
      </c>
      <c r="C422" t="s">
        <v>412</v>
      </c>
      <c r="D422" t="s">
        <v>124</v>
      </c>
    </row>
    <row r="423" spans="1:4" x14ac:dyDescent="0.3">
      <c r="A423" t="s">
        <v>410</v>
      </c>
      <c r="B423">
        <v>100883</v>
      </c>
      <c r="C423" t="s">
        <v>413</v>
      </c>
      <c r="D423" t="s">
        <v>122</v>
      </c>
    </row>
    <row r="424" spans="1:4" x14ac:dyDescent="0.3">
      <c r="A424" t="s">
        <v>414</v>
      </c>
      <c r="B424">
        <v>100884</v>
      </c>
      <c r="C424" t="s">
        <v>208</v>
      </c>
      <c r="D424" t="s">
        <v>208</v>
      </c>
    </row>
    <row r="425" spans="1:4" x14ac:dyDescent="0.3">
      <c r="A425" t="s">
        <v>414</v>
      </c>
      <c r="B425">
        <v>100884</v>
      </c>
      <c r="C425" t="s">
        <v>209</v>
      </c>
      <c r="D425" t="s">
        <v>209</v>
      </c>
    </row>
    <row r="426" spans="1:4" x14ac:dyDescent="0.3">
      <c r="A426" t="s">
        <v>414</v>
      </c>
      <c r="B426">
        <v>100884</v>
      </c>
      <c r="C426" t="s">
        <v>211</v>
      </c>
      <c r="D426" t="s">
        <v>211</v>
      </c>
    </row>
    <row r="427" spans="1:4" x14ac:dyDescent="0.3">
      <c r="A427" t="s">
        <v>414</v>
      </c>
      <c r="B427">
        <v>100884</v>
      </c>
      <c r="C427" t="s">
        <v>212</v>
      </c>
      <c r="D427" t="s">
        <v>212</v>
      </c>
    </row>
    <row r="428" spans="1:4" x14ac:dyDescent="0.3">
      <c r="A428" t="s">
        <v>414</v>
      </c>
      <c r="B428">
        <v>100884</v>
      </c>
      <c r="C428" t="s">
        <v>213</v>
      </c>
      <c r="D428" t="s">
        <v>213</v>
      </c>
    </row>
    <row r="429" spans="1:4" x14ac:dyDescent="0.3">
      <c r="A429" t="s">
        <v>414</v>
      </c>
      <c r="B429">
        <v>100884</v>
      </c>
      <c r="C429" t="s">
        <v>214</v>
      </c>
      <c r="D429" t="s">
        <v>214</v>
      </c>
    </row>
    <row r="430" spans="1:4" x14ac:dyDescent="0.3">
      <c r="A430" t="s">
        <v>414</v>
      </c>
      <c r="B430">
        <v>100884</v>
      </c>
      <c r="C430" t="s">
        <v>215</v>
      </c>
      <c r="D430" t="s">
        <v>215</v>
      </c>
    </row>
    <row r="431" spans="1:4" x14ac:dyDescent="0.3">
      <c r="A431" t="s">
        <v>415</v>
      </c>
      <c r="B431">
        <v>100053</v>
      </c>
      <c r="C431" t="s">
        <v>208</v>
      </c>
      <c r="D431" t="s">
        <v>208</v>
      </c>
    </row>
    <row r="432" spans="1:4" x14ac:dyDescent="0.3">
      <c r="A432" t="s">
        <v>415</v>
      </c>
      <c r="B432">
        <v>100053</v>
      </c>
      <c r="C432" t="s">
        <v>209</v>
      </c>
      <c r="D432" t="s">
        <v>209</v>
      </c>
    </row>
    <row r="433" spans="1:4" x14ac:dyDescent="0.3">
      <c r="A433" t="s">
        <v>415</v>
      </c>
      <c r="B433">
        <v>100053</v>
      </c>
      <c r="C433" t="s">
        <v>210</v>
      </c>
      <c r="D433" t="s">
        <v>210</v>
      </c>
    </row>
    <row r="434" spans="1:4" x14ac:dyDescent="0.3">
      <c r="A434" t="s">
        <v>415</v>
      </c>
      <c r="B434">
        <v>100053</v>
      </c>
      <c r="C434" t="s">
        <v>211</v>
      </c>
      <c r="D434" t="s">
        <v>211</v>
      </c>
    </row>
    <row r="435" spans="1:4" x14ac:dyDescent="0.3">
      <c r="A435" t="s">
        <v>415</v>
      </c>
      <c r="B435">
        <v>100053</v>
      </c>
      <c r="C435" t="s">
        <v>212</v>
      </c>
      <c r="D435" t="s">
        <v>212</v>
      </c>
    </row>
    <row r="436" spans="1:4" x14ac:dyDescent="0.3">
      <c r="A436" t="s">
        <v>415</v>
      </c>
      <c r="B436">
        <v>100053</v>
      </c>
      <c r="C436" t="s">
        <v>213</v>
      </c>
      <c r="D436" t="s">
        <v>213</v>
      </c>
    </row>
    <row r="437" spans="1:4" x14ac:dyDescent="0.3">
      <c r="A437" t="s">
        <v>415</v>
      </c>
      <c r="B437">
        <v>100053</v>
      </c>
      <c r="C437" t="s">
        <v>214</v>
      </c>
      <c r="D437" t="s">
        <v>214</v>
      </c>
    </row>
    <row r="438" spans="1:4" x14ac:dyDescent="0.3">
      <c r="A438" t="s">
        <v>415</v>
      </c>
      <c r="B438">
        <v>100053</v>
      </c>
      <c r="C438" t="s">
        <v>215</v>
      </c>
      <c r="D438" t="s">
        <v>215</v>
      </c>
    </row>
    <row r="439" spans="1:4" x14ac:dyDescent="0.3">
      <c r="A439" t="s">
        <v>415</v>
      </c>
      <c r="B439">
        <v>100053</v>
      </c>
      <c r="C439" t="s">
        <v>194</v>
      </c>
      <c r="D439" t="s">
        <v>194</v>
      </c>
    </row>
    <row r="440" spans="1:4" x14ac:dyDescent="0.3">
      <c r="A440" t="s">
        <v>416</v>
      </c>
      <c r="B440">
        <v>100885</v>
      </c>
      <c r="C440" t="s">
        <v>208</v>
      </c>
      <c r="D440" t="s">
        <v>208</v>
      </c>
    </row>
    <row r="441" spans="1:4" x14ac:dyDescent="0.3">
      <c r="A441" t="s">
        <v>416</v>
      </c>
      <c r="B441">
        <v>100885</v>
      </c>
      <c r="C441" t="s">
        <v>209</v>
      </c>
      <c r="D441" t="s">
        <v>209</v>
      </c>
    </row>
    <row r="442" spans="1:4" x14ac:dyDescent="0.3">
      <c r="A442" t="s">
        <v>416</v>
      </c>
      <c r="B442">
        <v>100885</v>
      </c>
      <c r="C442" t="s">
        <v>212</v>
      </c>
      <c r="D442" t="s">
        <v>212</v>
      </c>
    </row>
    <row r="443" spans="1:4" x14ac:dyDescent="0.3">
      <c r="A443" t="s">
        <v>416</v>
      </c>
      <c r="B443">
        <v>100885</v>
      </c>
      <c r="C443" t="s">
        <v>213</v>
      </c>
      <c r="D443" t="s">
        <v>213</v>
      </c>
    </row>
    <row r="444" spans="1:4" x14ac:dyDescent="0.3">
      <c r="A444" t="s">
        <v>416</v>
      </c>
      <c r="B444">
        <v>100885</v>
      </c>
      <c r="C444" t="s">
        <v>214</v>
      </c>
      <c r="D444" t="s">
        <v>214</v>
      </c>
    </row>
    <row r="445" spans="1:4" x14ac:dyDescent="0.3">
      <c r="A445" t="s">
        <v>416</v>
      </c>
      <c r="B445">
        <v>100885</v>
      </c>
      <c r="C445" t="s">
        <v>215</v>
      </c>
      <c r="D445" t="s">
        <v>215</v>
      </c>
    </row>
    <row r="446" spans="1:4" x14ac:dyDescent="0.3">
      <c r="A446" t="s">
        <v>417</v>
      </c>
      <c r="B446">
        <v>100888</v>
      </c>
      <c r="C446" t="s">
        <v>178</v>
      </c>
      <c r="D446" t="s">
        <v>178</v>
      </c>
    </row>
    <row r="447" spans="1:4" x14ac:dyDescent="0.3">
      <c r="A447" t="s">
        <v>417</v>
      </c>
      <c r="B447">
        <v>100888</v>
      </c>
      <c r="C447" t="s">
        <v>122</v>
      </c>
      <c r="D447" t="s">
        <v>122</v>
      </c>
    </row>
    <row r="448" spans="1:4" x14ac:dyDescent="0.3">
      <c r="A448" t="s">
        <v>417</v>
      </c>
      <c r="B448">
        <v>100888</v>
      </c>
      <c r="C448" t="s">
        <v>124</v>
      </c>
      <c r="D448" t="s">
        <v>124</v>
      </c>
    </row>
    <row r="449" spans="1:4" x14ac:dyDescent="0.3">
      <c r="A449" t="s">
        <v>417</v>
      </c>
      <c r="B449">
        <v>100888</v>
      </c>
      <c r="C449" t="s">
        <v>119</v>
      </c>
      <c r="D449" t="s">
        <v>119</v>
      </c>
    </row>
    <row r="450" spans="1:4" x14ac:dyDescent="0.3">
      <c r="A450" t="s">
        <v>417</v>
      </c>
      <c r="B450">
        <v>100888</v>
      </c>
      <c r="C450" t="s">
        <v>204</v>
      </c>
      <c r="D450" t="s">
        <v>204</v>
      </c>
    </row>
    <row r="451" spans="1:4" x14ac:dyDescent="0.3">
      <c r="A451" t="s">
        <v>417</v>
      </c>
      <c r="B451">
        <v>100888</v>
      </c>
      <c r="C451" t="s">
        <v>206</v>
      </c>
      <c r="D451" t="s">
        <v>206</v>
      </c>
    </row>
    <row r="452" spans="1:4" x14ac:dyDescent="0.3">
      <c r="A452" t="s">
        <v>417</v>
      </c>
      <c r="B452">
        <v>100888</v>
      </c>
      <c r="C452" t="s">
        <v>205</v>
      </c>
      <c r="D452" t="s">
        <v>205</v>
      </c>
    </row>
    <row r="453" spans="1:4" x14ac:dyDescent="0.3">
      <c r="A453" t="s">
        <v>418</v>
      </c>
      <c r="B453">
        <v>100054</v>
      </c>
      <c r="C453" t="s">
        <v>419</v>
      </c>
      <c r="D453" t="s">
        <v>419</v>
      </c>
    </row>
    <row r="454" spans="1:4" x14ac:dyDescent="0.3">
      <c r="A454" t="s">
        <v>418</v>
      </c>
      <c r="B454">
        <v>100054</v>
      </c>
      <c r="C454" t="s">
        <v>420</v>
      </c>
      <c r="D454" t="s">
        <v>420</v>
      </c>
    </row>
    <row r="455" spans="1:4" x14ac:dyDescent="0.3">
      <c r="A455" t="s">
        <v>418</v>
      </c>
      <c r="B455">
        <v>100054</v>
      </c>
      <c r="C455" t="s">
        <v>421</v>
      </c>
      <c r="D455" t="s">
        <v>421</v>
      </c>
    </row>
    <row r="456" spans="1:4" x14ac:dyDescent="0.3">
      <c r="A456" t="s">
        <v>418</v>
      </c>
      <c r="B456">
        <v>100054</v>
      </c>
      <c r="C456" t="s">
        <v>422</v>
      </c>
      <c r="D456" t="s">
        <v>422</v>
      </c>
    </row>
    <row r="457" spans="1:4" x14ac:dyDescent="0.3">
      <c r="A457" t="s">
        <v>418</v>
      </c>
      <c r="B457">
        <v>100054</v>
      </c>
      <c r="C457" t="s">
        <v>423</v>
      </c>
      <c r="D457" t="s">
        <v>423</v>
      </c>
    </row>
    <row r="458" spans="1:4" x14ac:dyDescent="0.3">
      <c r="A458" t="s">
        <v>418</v>
      </c>
      <c r="B458">
        <v>100054</v>
      </c>
      <c r="C458" t="s">
        <v>157</v>
      </c>
      <c r="D458" t="s">
        <v>157</v>
      </c>
    </row>
    <row r="459" spans="1:4" x14ac:dyDescent="0.3">
      <c r="A459" t="s">
        <v>418</v>
      </c>
      <c r="B459">
        <v>100054</v>
      </c>
      <c r="C459" t="s">
        <v>424</v>
      </c>
      <c r="D459" t="s">
        <v>424</v>
      </c>
    </row>
    <row r="460" spans="1:4" x14ac:dyDescent="0.3">
      <c r="A460" t="s">
        <v>418</v>
      </c>
      <c r="B460">
        <v>100054</v>
      </c>
      <c r="C460" t="s">
        <v>425</v>
      </c>
      <c r="D460" t="s">
        <v>425</v>
      </c>
    </row>
    <row r="461" spans="1:4" x14ac:dyDescent="0.3">
      <c r="A461" t="s">
        <v>418</v>
      </c>
      <c r="B461">
        <v>100054</v>
      </c>
      <c r="C461" t="s">
        <v>152</v>
      </c>
      <c r="D461" t="s">
        <v>152</v>
      </c>
    </row>
    <row r="462" spans="1:4" x14ac:dyDescent="0.3">
      <c r="A462" t="s">
        <v>418</v>
      </c>
      <c r="B462">
        <v>100054</v>
      </c>
      <c r="C462" t="s">
        <v>426</v>
      </c>
      <c r="D462" t="s">
        <v>426</v>
      </c>
    </row>
    <row r="463" spans="1:4" x14ac:dyDescent="0.3">
      <c r="A463" t="s">
        <v>106</v>
      </c>
      <c r="B463">
        <v>100043</v>
      </c>
      <c r="C463" t="s">
        <v>427</v>
      </c>
      <c r="D463" t="s">
        <v>427</v>
      </c>
    </row>
    <row r="464" spans="1:4" x14ac:dyDescent="0.3">
      <c r="A464" t="s">
        <v>428</v>
      </c>
      <c r="B464">
        <v>100324</v>
      </c>
      <c r="C464" t="s">
        <v>429</v>
      </c>
      <c r="D464" t="s">
        <v>429</v>
      </c>
    </row>
    <row r="465" spans="1:4" x14ac:dyDescent="0.3">
      <c r="A465" t="s">
        <v>428</v>
      </c>
      <c r="B465">
        <v>100324</v>
      </c>
      <c r="C465" t="s">
        <v>159</v>
      </c>
      <c r="D465" t="s">
        <v>159</v>
      </c>
    </row>
    <row r="466" spans="1:4" x14ac:dyDescent="0.3">
      <c r="A466" t="s">
        <v>428</v>
      </c>
      <c r="B466">
        <v>100324</v>
      </c>
      <c r="C466" t="s">
        <v>430</v>
      </c>
      <c r="D466" t="s">
        <v>430</v>
      </c>
    </row>
    <row r="467" spans="1:4" x14ac:dyDescent="0.3">
      <c r="A467" t="s">
        <v>428</v>
      </c>
      <c r="B467">
        <v>100324</v>
      </c>
      <c r="C467" t="s">
        <v>160</v>
      </c>
      <c r="D467" t="s">
        <v>160</v>
      </c>
    </row>
    <row r="468" spans="1:4" x14ac:dyDescent="0.3">
      <c r="A468" t="s">
        <v>428</v>
      </c>
      <c r="B468">
        <v>100324</v>
      </c>
      <c r="C468" t="s">
        <v>431</v>
      </c>
      <c r="D468" t="s">
        <v>431</v>
      </c>
    </row>
    <row r="469" spans="1:4" x14ac:dyDescent="0.3">
      <c r="A469" t="s">
        <v>428</v>
      </c>
      <c r="B469">
        <v>100324</v>
      </c>
      <c r="C469" t="s">
        <v>161</v>
      </c>
      <c r="D469" t="s">
        <v>161</v>
      </c>
    </row>
    <row r="470" spans="1:4" x14ac:dyDescent="0.3">
      <c r="A470" t="s">
        <v>428</v>
      </c>
      <c r="B470">
        <v>100324</v>
      </c>
      <c r="C470" t="s">
        <v>432</v>
      </c>
      <c r="D470" t="s">
        <v>432</v>
      </c>
    </row>
    <row r="471" spans="1:4" x14ac:dyDescent="0.3">
      <c r="A471" t="s">
        <v>428</v>
      </c>
      <c r="B471">
        <v>100324</v>
      </c>
      <c r="C471" t="s">
        <v>433</v>
      </c>
      <c r="D471" t="s">
        <v>433</v>
      </c>
    </row>
    <row r="472" spans="1:4" x14ac:dyDescent="0.3">
      <c r="A472" t="s">
        <v>428</v>
      </c>
      <c r="B472">
        <v>100324</v>
      </c>
      <c r="C472" t="s">
        <v>434</v>
      </c>
      <c r="D472" t="s">
        <v>434</v>
      </c>
    </row>
    <row r="473" spans="1:4" x14ac:dyDescent="0.3">
      <c r="A473" t="s">
        <v>435</v>
      </c>
      <c r="B473">
        <v>100891</v>
      </c>
      <c r="C473" t="s">
        <v>208</v>
      </c>
      <c r="D473" t="s">
        <v>208</v>
      </c>
    </row>
    <row r="474" spans="1:4" x14ac:dyDescent="0.3">
      <c r="A474" t="s">
        <v>435</v>
      </c>
      <c r="B474">
        <v>100891</v>
      </c>
      <c r="C474" t="s">
        <v>209</v>
      </c>
      <c r="D474" t="s">
        <v>209</v>
      </c>
    </row>
    <row r="475" spans="1:4" x14ac:dyDescent="0.3">
      <c r="A475" t="s">
        <v>435</v>
      </c>
      <c r="B475">
        <v>100891</v>
      </c>
      <c r="C475" t="s">
        <v>212</v>
      </c>
      <c r="D475" t="s">
        <v>212</v>
      </c>
    </row>
    <row r="476" spans="1:4" x14ac:dyDescent="0.3">
      <c r="A476" t="s">
        <v>435</v>
      </c>
      <c r="B476">
        <v>100891</v>
      </c>
      <c r="C476" t="s">
        <v>213</v>
      </c>
      <c r="D476" t="s">
        <v>213</v>
      </c>
    </row>
    <row r="477" spans="1:4" x14ac:dyDescent="0.3">
      <c r="A477" t="s">
        <v>435</v>
      </c>
      <c r="B477">
        <v>100891</v>
      </c>
      <c r="C477" t="s">
        <v>214</v>
      </c>
      <c r="D477" t="s">
        <v>214</v>
      </c>
    </row>
    <row r="478" spans="1:4" x14ac:dyDescent="0.3">
      <c r="A478" t="s">
        <v>435</v>
      </c>
      <c r="B478">
        <v>100891</v>
      </c>
      <c r="C478" t="s">
        <v>215</v>
      </c>
      <c r="D478" t="s">
        <v>215</v>
      </c>
    </row>
    <row r="479" spans="1:4" x14ac:dyDescent="0.3">
      <c r="A479" t="s">
        <v>435</v>
      </c>
      <c r="B479">
        <v>100891</v>
      </c>
      <c r="C479" t="s">
        <v>194</v>
      </c>
      <c r="D479" t="s">
        <v>194</v>
      </c>
    </row>
    <row r="480" spans="1:4" x14ac:dyDescent="0.3">
      <c r="A480" t="s">
        <v>436</v>
      </c>
      <c r="B480">
        <v>100413</v>
      </c>
      <c r="C480" t="s">
        <v>437</v>
      </c>
      <c r="D480" t="s">
        <v>237</v>
      </c>
    </row>
    <row r="481" spans="1:4" x14ac:dyDescent="0.3">
      <c r="A481" t="s">
        <v>436</v>
      </c>
      <c r="B481">
        <v>100413</v>
      </c>
      <c r="C481" t="s">
        <v>438</v>
      </c>
      <c r="D481" t="s">
        <v>239</v>
      </c>
    </row>
    <row r="482" spans="1:4" x14ac:dyDescent="0.3">
      <c r="A482" t="s">
        <v>436</v>
      </c>
      <c r="B482">
        <v>100413</v>
      </c>
      <c r="C482" t="s">
        <v>439</v>
      </c>
      <c r="D482" t="s">
        <v>241</v>
      </c>
    </row>
    <row r="483" spans="1:4" x14ac:dyDescent="0.3">
      <c r="A483" t="s">
        <v>436</v>
      </c>
      <c r="B483">
        <v>100413</v>
      </c>
      <c r="C483" t="s">
        <v>440</v>
      </c>
      <c r="D483" t="s">
        <v>243</v>
      </c>
    </row>
    <row r="484" spans="1:4" x14ac:dyDescent="0.3">
      <c r="A484" t="s">
        <v>436</v>
      </c>
      <c r="B484">
        <v>100413</v>
      </c>
      <c r="C484" t="s">
        <v>441</v>
      </c>
      <c r="D484" t="s">
        <v>245</v>
      </c>
    </row>
    <row r="485" spans="1:4" x14ac:dyDescent="0.3">
      <c r="A485" t="s">
        <v>436</v>
      </c>
      <c r="B485">
        <v>100413</v>
      </c>
      <c r="C485" t="s">
        <v>442</v>
      </c>
      <c r="D485" t="s">
        <v>443</v>
      </c>
    </row>
    <row r="486" spans="1:4" x14ac:dyDescent="0.3">
      <c r="A486" t="s">
        <v>436</v>
      </c>
      <c r="B486">
        <v>100413</v>
      </c>
      <c r="C486" t="s">
        <v>444</v>
      </c>
      <c r="D486" t="s">
        <v>444</v>
      </c>
    </row>
    <row r="487" spans="1:4" x14ac:dyDescent="0.3">
      <c r="A487" t="s">
        <v>445</v>
      </c>
      <c r="B487">
        <v>100056</v>
      </c>
      <c r="C487" t="s">
        <v>208</v>
      </c>
      <c r="D487" t="s">
        <v>208</v>
      </c>
    </row>
    <row r="488" spans="1:4" x14ac:dyDescent="0.3">
      <c r="A488" t="s">
        <v>445</v>
      </c>
      <c r="B488">
        <v>100056</v>
      </c>
      <c r="C488" t="s">
        <v>209</v>
      </c>
      <c r="D488" t="s">
        <v>209</v>
      </c>
    </row>
    <row r="489" spans="1:4" x14ac:dyDescent="0.3">
      <c r="A489" t="s">
        <v>445</v>
      </c>
      <c r="B489">
        <v>100056</v>
      </c>
      <c r="C489" t="s">
        <v>210</v>
      </c>
      <c r="D489" t="s">
        <v>210</v>
      </c>
    </row>
    <row r="490" spans="1:4" x14ac:dyDescent="0.3">
      <c r="A490" t="s">
        <v>445</v>
      </c>
      <c r="B490">
        <v>100056</v>
      </c>
      <c r="C490" t="s">
        <v>211</v>
      </c>
      <c r="D490" t="s">
        <v>211</v>
      </c>
    </row>
    <row r="491" spans="1:4" x14ac:dyDescent="0.3">
      <c r="A491" t="s">
        <v>445</v>
      </c>
      <c r="B491">
        <v>100056</v>
      </c>
      <c r="C491" t="s">
        <v>212</v>
      </c>
      <c r="D491" t="s">
        <v>212</v>
      </c>
    </row>
    <row r="492" spans="1:4" x14ac:dyDescent="0.3">
      <c r="A492" t="s">
        <v>445</v>
      </c>
      <c r="B492">
        <v>100056</v>
      </c>
      <c r="C492" t="s">
        <v>213</v>
      </c>
      <c r="D492" t="s">
        <v>213</v>
      </c>
    </row>
    <row r="493" spans="1:4" x14ac:dyDescent="0.3">
      <c r="A493" t="s">
        <v>445</v>
      </c>
      <c r="B493">
        <v>100056</v>
      </c>
      <c r="C493" t="s">
        <v>214</v>
      </c>
      <c r="D493" t="s">
        <v>214</v>
      </c>
    </row>
    <row r="494" spans="1:4" x14ac:dyDescent="0.3">
      <c r="A494" t="s">
        <v>445</v>
      </c>
      <c r="B494">
        <v>100056</v>
      </c>
      <c r="C494" t="s">
        <v>215</v>
      </c>
      <c r="D494" t="s">
        <v>215</v>
      </c>
    </row>
    <row r="495" spans="1:4" x14ac:dyDescent="0.3">
      <c r="A495" t="s">
        <v>445</v>
      </c>
      <c r="B495">
        <v>100056</v>
      </c>
      <c r="C495" t="s">
        <v>194</v>
      </c>
      <c r="D495" t="s">
        <v>194</v>
      </c>
    </row>
    <row r="496" spans="1:4" x14ac:dyDescent="0.3">
      <c r="A496" t="s">
        <v>127</v>
      </c>
      <c r="B496">
        <v>100303</v>
      </c>
      <c r="C496" t="s">
        <v>446</v>
      </c>
      <c r="D496" t="s">
        <v>446</v>
      </c>
    </row>
    <row r="497" spans="1:4" x14ac:dyDescent="0.3">
      <c r="A497" t="s">
        <v>447</v>
      </c>
      <c r="B497">
        <v>100806</v>
      </c>
      <c r="C497" t="s">
        <v>448</v>
      </c>
      <c r="D497" t="s">
        <v>448</v>
      </c>
    </row>
    <row r="498" spans="1:4" x14ac:dyDescent="0.3">
      <c r="A498" t="s">
        <v>447</v>
      </c>
      <c r="B498">
        <v>100806</v>
      </c>
      <c r="C498" t="s">
        <v>449</v>
      </c>
      <c r="D498" t="s">
        <v>449</v>
      </c>
    </row>
    <row r="499" spans="1:4" x14ac:dyDescent="0.3">
      <c r="A499" t="s">
        <v>447</v>
      </c>
      <c r="B499">
        <v>100806</v>
      </c>
      <c r="C499" t="s">
        <v>450</v>
      </c>
      <c r="D499" t="s">
        <v>450</v>
      </c>
    </row>
    <row r="500" spans="1:4" x14ac:dyDescent="0.3">
      <c r="A500" t="s">
        <v>447</v>
      </c>
      <c r="B500">
        <v>100806</v>
      </c>
      <c r="C500" t="s">
        <v>451</v>
      </c>
      <c r="D500" t="s">
        <v>451</v>
      </c>
    </row>
    <row r="501" spans="1:4" x14ac:dyDescent="0.3">
      <c r="A501" t="s">
        <v>447</v>
      </c>
      <c r="B501">
        <v>100806</v>
      </c>
      <c r="C501" t="s">
        <v>452</v>
      </c>
      <c r="D501" t="s">
        <v>452</v>
      </c>
    </row>
    <row r="502" spans="1:4" x14ac:dyDescent="0.3">
      <c r="A502" t="s">
        <v>453</v>
      </c>
      <c r="B502">
        <v>100807</v>
      </c>
      <c r="C502" t="s">
        <v>122</v>
      </c>
      <c r="D502" t="s">
        <v>122</v>
      </c>
    </row>
    <row r="503" spans="1:4" x14ac:dyDescent="0.3">
      <c r="A503" t="s">
        <v>453</v>
      </c>
      <c r="B503">
        <v>100807</v>
      </c>
      <c r="C503" t="s">
        <v>124</v>
      </c>
      <c r="D503" t="s">
        <v>124</v>
      </c>
    </row>
    <row r="504" spans="1:4" x14ac:dyDescent="0.3">
      <c r="A504" t="s">
        <v>453</v>
      </c>
      <c r="B504">
        <v>100807</v>
      </c>
      <c r="C504" t="s">
        <v>119</v>
      </c>
      <c r="D504" t="s">
        <v>119</v>
      </c>
    </row>
    <row r="505" spans="1:4" x14ac:dyDescent="0.3">
      <c r="A505" t="s">
        <v>454</v>
      </c>
      <c r="B505">
        <v>100808</v>
      </c>
      <c r="C505" t="s">
        <v>122</v>
      </c>
      <c r="D505" t="s">
        <v>122</v>
      </c>
    </row>
    <row r="506" spans="1:4" x14ac:dyDescent="0.3">
      <c r="A506" t="s">
        <v>454</v>
      </c>
      <c r="B506">
        <v>100808</v>
      </c>
      <c r="C506" t="s">
        <v>124</v>
      </c>
      <c r="D506" t="s">
        <v>124</v>
      </c>
    </row>
    <row r="507" spans="1:4" x14ac:dyDescent="0.3">
      <c r="A507" t="s">
        <v>454</v>
      </c>
      <c r="B507">
        <v>100808</v>
      </c>
      <c r="C507" t="s">
        <v>119</v>
      </c>
      <c r="D507" t="s">
        <v>119</v>
      </c>
    </row>
    <row r="508" spans="1:4" x14ac:dyDescent="0.3">
      <c r="A508" t="s">
        <v>455</v>
      </c>
      <c r="B508">
        <v>100809</v>
      </c>
      <c r="C508" t="s">
        <v>178</v>
      </c>
      <c r="D508" t="s">
        <v>178</v>
      </c>
    </row>
    <row r="509" spans="1:4" x14ac:dyDescent="0.3">
      <c r="A509" t="s">
        <v>455</v>
      </c>
      <c r="B509">
        <v>100809</v>
      </c>
      <c r="C509" t="s">
        <v>122</v>
      </c>
      <c r="D509" t="s">
        <v>122</v>
      </c>
    </row>
    <row r="510" spans="1:4" x14ac:dyDescent="0.3">
      <c r="A510" t="s">
        <v>455</v>
      </c>
      <c r="B510">
        <v>100809</v>
      </c>
      <c r="C510" t="s">
        <v>124</v>
      </c>
      <c r="D510" t="s">
        <v>124</v>
      </c>
    </row>
    <row r="511" spans="1:4" x14ac:dyDescent="0.3">
      <c r="A511" t="s">
        <v>455</v>
      </c>
      <c r="B511">
        <v>100809</v>
      </c>
      <c r="C511" t="s">
        <v>119</v>
      </c>
      <c r="D511" t="s">
        <v>119</v>
      </c>
    </row>
    <row r="512" spans="1:4" x14ac:dyDescent="0.3">
      <c r="A512" t="s">
        <v>456</v>
      </c>
      <c r="B512">
        <v>100810</v>
      </c>
      <c r="C512" t="s">
        <v>457</v>
      </c>
      <c r="D512" t="s">
        <v>457</v>
      </c>
    </row>
    <row r="513" spans="1:4" x14ac:dyDescent="0.3">
      <c r="A513" t="s">
        <v>456</v>
      </c>
      <c r="B513">
        <v>100810</v>
      </c>
      <c r="C513" t="s">
        <v>458</v>
      </c>
      <c r="D513" t="s">
        <v>458</v>
      </c>
    </row>
    <row r="514" spans="1:4" x14ac:dyDescent="0.3">
      <c r="A514" t="s">
        <v>456</v>
      </c>
      <c r="B514">
        <v>100810</v>
      </c>
      <c r="C514" t="s">
        <v>459</v>
      </c>
      <c r="D514" t="s">
        <v>459</v>
      </c>
    </row>
    <row r="515" spans="1:4" x14ac:dyDescent="0.3">
      <c r="A515" t="s">
        <v>456</v>
      </c>
      <c r="B515">
        <v>100810</v>
      </c>
      <c r="C515" t="s">
        <v>460</v>
      </c>
      <c r="D515" t="s">
        <v>460</v>
      </c>
    </row>
    <row r="516" spans="1:4" x14ac:dyDescent="0.3">
      <c r="A516" t="s">
        <v>461</v>
      </c>
      <c r="B516">
        <v>100210</v>
      </c>
      <c r="C516" t="s">
        <v>462</v>
      </c>
      <c r="D516" t="s">
        <v>462</v>
      </c>
    </row>
    <row r="517" spans="1:4" x14ac:dyDescent="0.3">
      <c r="A517" t="s">
        <v>461</v>
      </c>
      <c r="B517">
        <v>100210</v>
      </c>
      <c r="C517" t="s">
        <v>463</v>
      </c>
      <c r="D517" t="s">
        <v>463</v>
      </c>
    </row>
    <row r="518" spans="1:4" x14ac:dyDescent="0.3">
      <c r="A518" t="s">
        <v>461</v>
      </c>
      <c r="B518">
        <v>100210</v>
      </c>
      <c r="C518" t="s">
        <v>464</v>
      </c>
      <c r="D518" t="s">
        <v>464</v>
      </c>
    </row>
    <row r="519" spans="1:4" x14ac:dyDescent="0.3">
      <c r="A519" t="s">
        <v>461</v>
      </c>
      <c r="B519">
        <v>100210</v>
      </c>
      <c r="C519" t="s">
        <v>465</v>
      </c>
      <c r="D519" t="s">
        <v>465</v>
      </c>
    </row>
    <row r="520" spans="1:4" x14ac:dyDescent="0.3">
      <c r="A520" t="s">
        <v>461</v>
      </c>
      <c r="B520">
        <v>100210</v>
      </c>
      <c r="C520" t="s">
        <v>466</v>
      </c>
      <c r="D520" t="s">
        <v>466</v>
      </c>
    </row>
    <row r="521" spans="1:4" x14ac:dyDescent="0.3">
      <c r="A521" t="s">
        <v>461</v>
      </c>
      <c r="B521">
        <v>100210</v>
      </c>
      <c r="C521" t="s">
        <v>467</v>
      </c>
      <c r="D521" t="s">
        <v>467</v>
      </c>
    </row>
    <row r="522" spans="1:4" x14ac:dyDescent="0.3">
      <c r="A522" t="s">
        <v>461</v>
      </c>
      <c r="B522">
        <v>100210</v>
      </c>
      <c r="C522" t="s">
        <v>468</v>
      </c>
      <c r="D522" t="s">
        <v>468</v>
      </c>
    </row>
    <row r="523" spans="1:4" x14ac:dyDescent="0.3">
      <c r="A523" t="s">
        <v>461</v>
      </c>
      <c r="B523">
        <v>100210</v>
      </c>
      <c r="C523" t="s">
        <v>469</v>
      </c>
      <c r="D523" t="s">
        <v>469</v>
      </c>
    </row>
    <row r="524" spans="1:4" x14ac:dyDescent="0.3">
      <c r="A524" t="s">
        <v>461</v>
      </c>
      <c r="B524">
        <v>100210</v>
      </c>
      <c r="C524" t="s">
        <v>152</v>
      </c>
      <c r="D524" t="s">
        <v>152</v>
      </c>
    </row>
    <row r="525" spans="1:4" x14ac:dyDescent="0.3">
      <c r="A525" t="s">
        <v>235</v>
      </c>
      <c r="B525">
        <v>100224</v>
      </c>
      <c r="C525" t="s">
        <v>470</v>
      </c>
      <c r="D525" t="s">
        <v>470</v>
      </c>
    </row>
    <row r="526" spans="1:4" x14ac:dyDescent="0.3">
      <c r="A526" t="s">
        <v>235</v>
      </c>
      <c r="B526">
        <v>100409</v>
      </c>
      <c r="C526" t="s">
        <v>470</v>
      </c>
      <c r="D526" t="s">
        <v>470</v>
      </c>
    </row>
    <row r="527" spans="1:4" x14ac:dyDescent="0.3">
      <c r="A527" t="s">
        <v>235</v>
      </c>
      <c r="B527">
        <v>100224</v>
      </c>
      <c r="C527" t="s">
        <v>471</v>
      </c>
      <c r="D527" t="s">
        <v>471</v>
      </c>
    </row>
    <row r="528" spans="1:4" x14ac:dyDescent="0.3">
      <c r="A528" t="s">
        <v>235</v>
      </c>
      <c r="B528">
        <v>100409</v>
      </c>
      <c r="C528" t="s">
        <v>471</v>
      </c>
      <c r="D528" t="s">
        <v>471</v>
      </c>
    </row>
    <row r="529" spans="1:4" x14ac:dyDescent="0.3">
      <c r="A529" t="s">
        <v>235</v>
      </c>
      <c r="B529">
        <v>100224</v>
      </c>
      <c r="C529" t="s">
        <v>472</v>
      </c>
      <c r="D529" t="s">
        <v>472</v>
      </c>
    </row>
    <row r="530" spans="1:4" x14ac:dyDescent="0.3">
      <c r="A530" t="s">
        <v>235</v>
      </c>
      <c r="B530">
        <v>100409</v>
      </c>
      <c r="C530" t="s">
        <v>472</v>
      </c>
      <c r="D530" t="s">
        <v>472</v>
      </c>
    </row>
    <row r="531" spans="1:4" x14ac:dyDescent="0.3">
      <c r="A531" t="s">
        <v>235</v>
      </c>
      <c r="B531">
        <v>100224</v>
      </c>
      <c r="C531" t="s">
        <v>473</v>
      </c>
      <c r="D531" t="s">
        <v>473</v>
      </c>
    </row>
    <row r="532" spans="1:4" x14ac:dyDescent="0.3">
      <c r="A532" t="s">
        <v>235</v>
      </c>
      <c r="B532">
        <v>100409</v>
      </c>
      <c r="C532" t="s">
        <v>473</v>
      </c>
      <c r="D532" t="s">
        <v>473</v>
      </c>
    </row>
    <row r="533" spans="1:4" x14ac:dyDescent="0.3">
      <c r="A533" t="s">
        <v>235</v>
      </c>
      <c r="B533">
        <v>100224</v>
      </c>
      <c r="C533" t="s">
        <v>474</v>
      </c>
      <c r="D533" t="s">
        <v>474</v>
      </c>
    </row>
    <row r="534" spans="1:4" x14ac:dyDescent="0.3">
      <c r="A534" t="s">
        <v>235</v>
      </c>
      <c r="B534">
        <v>100409</v>
      </c>
      <c r="C534" t="s">
        <v>474</v>
      </c>
      <c r="D534" t="s">
        <v>474</v>
      </c>
    </row>
    <row r="535" spans="1:4" x14ac:dyDescent="0.3">
      <c r="A535" t="s">
        <v>235</v>
      </c>
      <c r="B535">
        <v>100224</v>
      </c>
      <c r="C535" t="s">
        <v>475</v>
      </c>
      <c r="D535" t="s">
        <v>475</v>
      </c>
    </row>
    <row r="536" spans="1:4" x14ac:dyDescent="0.3">
      <c r="A536" t="s">
        <v>235</v>
      </c>
      <c r="B536">
        <v>100409</v>
      </c>
      <c r="C536" t="s">
        <v>475</v>
      </c>
      <c r="D536" t="s">
        <v>475</v>
      </c>
    </row>
    <row r="537" spans="1:4" x14ac:dyDescent="0.3">
      <c r="A537" t="s">
        <v>436</v>
      </c>
      <c r="B537">
        <v>100225</v>
      </c>
      <c r="C537" t="s">
        <v>476</v>
      </c>
      <c r="D537" t="s">
        <v>476</v>
      </c>
    </row>
    <row r="538" spans="1:4" x14ac:dyDescent="0.3">
      <c r="A538" t="s">
        <v>436</v>
      </c>
      <c r="B538">
        <v>100225</v>
      </c>
      <c r="C538" t="s">
        <v>477</v>
      </c>
      <c r="D538" t="s">
        <v>477</v>
      </c>
    </row>
    <row r="539" spans="1:4" x14ac:dyDescent="0.3">
      <c r="A539" t="s">
        <v>436</v>
      </c>
      <c r="B539">
        <v>100225</v>
      </c>
      <c r="C539" t="s">
        <v>478</v>
      </c>
      <c r="D539" t="s">
        <v>478</v>
      </c>
    </row>
    <row r="540" spans="1:4" x14ac:dyDescent="0.3">
      <c r="A540" t="s">
        <v>436</v>
      </c>
      <c r="B540">
        <v>100225</v>
      </c>
      <c r="C540" t="s">
        <v>479</v>
      </c>
      <c r="D540" t="s">
        <v>479</v>
      </c>
    </row>
    <row r="541" spans="1:4" x14ac:dyDescent="0.3">
      <c r="A541" t="s">
        <v>436</v>
      </c>
      <c r="B541">
        <v>100225</v>
      </c>
      <c r="C541" t="s">
        <v>480</v>
      </c>
      <c r="D541" t="s">
        <v>480</v>
      </c>
    </row>
    <row r="542" spans="1:4" x14ac:dyDescent="0.3">
      <c r="A542" t="s">
        <v>436</v>
      </c>
      <c r="B542">
        <v>100225</v>
      </c>
      <c r="C542" t="s">
        <v>481</v>
      </c>
      <c r="D542" t="s">
        <v>481</v>
      </c>
    </row>
    <row r="543" spans="1:4" x14ac:dyDescent="0.3">
      <c r="A543" t="s">
        <v>436</v>
      </c>
      <c r="B543">
        <v>100225</v>
      </c>
      <c r="C543" t="s">
        <v>482</v>
      </c>
      <c r="D543" t="s">
        <v>482</v>
      </c>
    </row>
    <row r="544" spans="1:4" x14ac:dyDescent="0.3">
      <c r="A544" t="s">
        <v>436</v>
      </c>
      <c r="B544">
        <v>100225</v>
      </c>
      <c r="C544" t="s">
        <v>483</v>
      </c>
      <c r="D544" t="s">
        <v>483</v>
      </c>
    </row>
    <row r="545" spans="1:4" x14ac:dyDescent="0.3">
      <c r="A545" t="s">
        <v>436</v>
      </c>
      <c r="B545">
        <v>100225</v>
      </c>
      <c r="C545" t="s">
        <v>444</v>
      </c>
      <c r="D545" t="s">
        <v>444</v>
      </c>
    </row>
    <row r="546" spans="1:4" x14ac:dyDescent="0.3">
      <c r="A546" t="s">
        <v>484</v>
      </c>
      <c r="B546">
        <v>100231</v>
      </c>
      <c r="C546" t="s">
        <v>485</v>
      </c>
      <c r="D546" t="s">
        <v>485</v>
      </c>
    </row>
    <row r="547" spans="1:4" x14ac:dyDescent="0.3">
      <c r="A547" t="s">
        <v>484</v>
      </c>
      <c r="B547">
        <v>100231</v>
      </c>
      <c r="C547" t="s">
        <v>486</v>
      </c>
      <c r="D547" t="s">
        <v>486</v>
      </c>
    </row>
    <row r="548" spans="1:4" x14ac:dyDescent="0.3">
      <c r="A548" t="s">
        <v>484</v>
      </c>
      <c r="B548">
        <v>100231</v>
      </c>
      <c r="C548" t="s">
        <v>487</v>
      </c>
      <c r="D548" t="s">
        <v>487</v>
      </c>
    </row>
    <row r="549" spans="1:4" x14ac:dyDescent="0.3">
      <c r="A549" t="s">
        <v>484</v>
      </c>
      <c r="B549">
        <v>100231</v>
      </c>
      <c r="C549" t="s">
        <v>488</v>
      </c>
      <c r="D549" t="s">
        <v>488</v>
      </c>
    </row>
    <row r="550" spans="1:4" x14ac:dyDescent="0.3">
      <c r="A550" t="s">
        <v>484</v>
      </c>
      <c r="B550">
        <v>100231</v>
      </c>
      <c r="C550" t="s">
        <v>152</v>
      </c>
      <c r="D550" t="s">
        <v>152</v>
      </c>
    </row>
    <row r="551" spans="1:4" x14ac:dyDescent="0.3">
      <c r="A551" t="s">
        <v>489</v>
      </c>
      <c r="B551">
        <v>100234</v>
      </c>
      <c r="C551" t="s">
        <v>490</v>
      </c>
      <c r="D551" t="s">
        <v>490</v>
      </c>
    </row>
    <row r="552" spans="1:4" x14ac:dyDescent="0.3">
      <c r="A552" t="s">
        <v>489</v>
      </c>
      <c r="B552">
        <v>100234</v>
      </c>
      <c r="C552" t="s">
        <v>491</v>
      </c>
      <c r="D552" t="s">
        <v>491</v>
      </c>
    </row>
    <row r="553" spans="1:4" x14ac:dyDescent="0.3">
      <c r="A553" t="s">
        <v>489</v>
      </c>
      <c r="B553">
        <v>100234</v>
      </c>
      <c r="C553" t="s">
        <v>492</v>
      </c>
      <c r="D553" t="s">
        <v>492</v>
      </c>
    </row>
    <row r="554" spans="1:4" x14ac:dyDescent="0.3">
      <c r="A554" t="s">
        <v>489</v>
      </c>
      <c r="B554">
        <v>100234</v>
      </c>
      <c r="C554" t="s">
        <v>493</v>
      </c>
      <c r="D554" t="s">
        <v>493</v>
      </c>
    </row>
    <row r="555" spans="1:4" x14ac:dyDescent="0.3">
      <c r="A555" t="s">
        <v>489</v>
      </c>
      <c r="B555">
        <v>100234</v>
      </c>
      <c r="C555" t="s">
        <v>152</v>
      </c>
      <c r="D555" t="s">
        <v>152</v>
      </c>
    </row>
    <row r="556" spans="1:4" x14ac:dyDescent="0.3">
      <c r="A556" t="s">
        <v>494</v>
      </c>
      <c r="B556">
        <v>100235</v>
      </c>
      <c r="C556" t="s">
        <v>495</v>
      </c>
      <c r="D556" t="s">
        <v>495</v>
      </c>
    </row>
    <row r="557" spans="1:4" x14ac:dyDescent="0.3">
      <c r="A557" t="s">
        <v>494</v>
      </c>
      <c r="B557">
        <v>100235</v>
      </c>
      <c r="C557" t="s">
        <v>496</v>
      </c>
      <c r="D557" t="s">
        <v>496</v>
      </c>
    </row>
    <row r="558" spans="1:4" x14ac:dyDescent="0.3">
      <c r="A558" t="s">
        <v>494</v>
      </c>
      <c r="B558">
        <v>100235</v>
      </c>
      <c r="C558" t="s">
        <v>497</v>
      </c>
      <c r="D558" t="s">
        <v>497</v>
      </c>
    </row>
    <row r="559" spans="1:4" x14ac:dyDescent="0.3">
      <c r="A559" t="s">
        <v>494</v>
      </c>
      <c r="B559">
        <v>100235</v>
      </c>
      <c r="C559" t="s">
        <v>498</v>
      </c>
      <c r="D559" t="s">
        <v>498</v>
      </c>
    </row>
    <row r="560" spans="1:4" x14ac:dyDescent="0.3">
      <c r="A560" t="s">
        <v>499</v>
      </c>
      <c r="B560">
        <v>100236</v>
      </c>
      <c r="C560" t="s">
        <v>121</v>
      </c>
      <c r="D560" t="s">
        <v>121</v>
      </c>
    </row>
    <row r="561" spans="1:4" x14ac:dyDescent="0.3">
      <c r="A561" t="s">
        <v>499</v>
      </c>
      <c r="B561">
        <v>100236</v>
      </c>
      <c r="C561" t="s">
        <v>120</v>
      </c>
      <c r="D561" t="s">
        <v>120</v>
      </c>
    </row>
    <row r="562" spans="1:4" x14ac:dyDescent="0.3">
      <c r="A562" t="s">
        <v>499</v>
      </c>
      <c r="B562">
        <v>100236</v>
      </c>
      <c r="C562" t="s">
        <v>500</v>
      </c>
      <c r="D562" t="s">
        <v>500</v>
      </c>
    </row>
    <row r="563" spans="1:4" x14ac:dyDescent="0.3">
      <c r="A563" t="s">
        <v>501</v>
      </c>
      <c r="B563">
        <v>100237</v>
      </c>
      <c r="C563" t="s">
        <v>121</v>
      </c>
      <c r="D563" t="s">
        <v>121</v>
      </c>
    </row>
    <row r="564" spans="1:4" x14ac:dyDescent="0.3">
      <c r="A564" t="s">
        <v>501</v>
      </c>
      <c r="B564">
        <v>100237</v>
      </c>
      <c r="C564" t="s">
        <v>120</v>
      </c>
      <c r="D564" t="s">
        <v>120</v>
      </c>
    </row>
    <row r="565" spans="1:4" x14ac:dyDescent="0.3">
      <c r="A565" t="s">
        <v>501</v>
      </c>
      <c r="B565">
        <v>100237</v>
      </c>
      <c r="C565" t="s">
        <v>500</v>
      </c>
      <c r="D565" t="s">
        <v>500</v>
      </c>
    </row>
    <row r="566" spans="1:4" x14ac:dyDescent="0.3">
      <c r="A566" t="s">
        <v>502</v>
      </c>
      <c r="B566">
        <v>100239</v>
      </c>
      <c r="C566" t="s">
        <v>503</v>
      </c>
      <c r="D566" t="s">
        <v>503</v>
      </c>
    </row>
    <row r="567" spans="1:4" x14ac:dyDescent="0.3">
      <c r="A567" t="s">
        <v>502</v>
      </c>
      <c r="B567">
        <v>100239</v>
      </c>
      <c r="C567" t="s">
        <v>504</v>
      </c>
      <c r="D567" t="s">
        <v>504</v>
      </c>
    </row>
    <row r="568" spans="1:4" x14ac:dyDescent="0.3">
      <c r="A568" t="s">
        <v>502</v>
      </c>
      <c r="B568">
        <v>100239</v>
      </c>
      <c r="C568" t="s">
        <v>505</v>
      </c>
      <c r="D568" t="s">
        <v>506</v>
      </c>
    </row>
    <row r="569" spans="1:4" x14ac:dyDescent="0.3">
      <c r="A569" t="s">
        <v>502</v>
      </c>
      <c r="B569">
        <v>100239</v>
      </c>
      <c r="C569" t="s">
        <v>507</v>
      </c>
      <c r="D569" t="s">
        <v>507</v>
      </c>
    </row>
    <row r="570" spans="1:4" x14ac:dyDescent="0.3">
      <c r="A570" t="s">
        <v>502</v>
      </c>
      <c r="B570">
        <v>100239</v>
      </c>
      <c r="C570" t="s">
        <v>508</v>
      </c>
      <c r="D570" t="s">
        <v>508</v>
      </c>
    </row>
    <row r="571" spans="1:4" x14ac:dyDescent="0.3">
      <c r="A571" t="s">
        <v>502</v>
      </c>
      <c r="B571">
        <v>100239</v>
      </c>
      <c r="C571" t="s">
        <v>152</v>
      </c>
      <c r="D571" t="s">
        <v>152</v>
      </c>
    </row>
    <row r="572" spans="1:4" x14ac:dyDescent="0.3">
      <c r="A572" t="s">
        <v>509</v>
      </c>
      <c r="B572">
        <v>100240</v>
      </c>
      <c r="C572" t="s">
        <v>510</v>
      </c>
      <c r="D572" t="s">
        <v>510</v>
      </c>
    </row>
    <row r="573" spans="1:4" x14ac:dyDescent="0.3">
      <c r="A573" t="s">
        <v>509</v>
      </c>
      <c r="B573">
        <v>100240</v>
      </c>
      <c r="C573" t="s">
        <v>511</v>
      </c>
      <c r="D573" t="s">
        <v>511</v>
      </c>
    </row>
    <row r="574" spans="1:4" x14ac:dyDescent="0.3">
      <c r="A574" t="s">
        <v>509</v>
      </c>
      <c r="B574">
        <v>100240</v>
      </c>
      <c r="C574" t="s">
        <v>512</v>
      </c>
      <c r="D574" t="s">
        <v>512</v>
      </c>
    </row>
    <row r="575" spans="1:4" x14ac:dyDescent="0.3">
      <c r="A575" t="s">
        <v>509</v>
      </c>
      <c r="B575">
        <v>100240</v>
      </c>
      <c r="C575" t="s">
        <v>513</v>
      </c>
      <c r="D575" t="s">
        <v>513</v>
      </c>
    </row>
    <row r="576" spans="1:4" x14ac:dyDescent="0.3">
      <c r="A576" t="s">
        <v>509</v>
      </c>
      <c r="B576">
        <v>100240</v>
      </c>
      <c r="C576" t="s">
        <v>514</v>
      </c>
      <c r="D576" t="s">
        <v>514</v>
      </c>
    </row>
    <row r="577" spans="1:4" x14ac:dyDescent="0.3">
      <c r="A577" t="s">
        <v>509</v>
      </c>
      <c r="B577">
        <v>100240</v>
      </c>
      <c r="C577" t="s">
        <v>515</v>
      </c>
      <c r="D577" t="s">
        <v>515</v>
      </c>
    </row>
    <row r="578" spans="1:4" x14ac:dyDescent="0.3">
      <c r="A578" t="s">
        <v>509</v>
      </c>
      <c r="B578">
        <v>100240</v>
      </c>
      <c r="C578" t="s">
        <v>516</v>
      </c>
      <c r="D578" t="s">
        <v>516</v>
      </c>
    </row>
    <row r="579" spans="1:4" x14ac:dyDescent="0.3">
      <c r="A579" t="s">
        <v>517</v>
      </c>
      <c r="B579">
        <v>100241</v>
      </c>
      <c r="C579" t="s">
        <v>510</v>
      </c>
      <c r="D579" t="s">
        <v>510</v>
      </c>
    </row>
    <row r="580" spans="1:4" x14ac:dyDescent="0.3">
      <c r="A580" t="s">
        <v>517</v>
      </c>
      <c r="B580">
        <v>100241</v>
      </c>
      <c r="C580" t="s">
        <v>511</v>
      </c>
      <c r="D580" t="s">
        <v>511</v>
      </c>
    </row>
    <row r="581" spans="1:4" x14ac:dyDescent="0.3">
      <c r="A581" t="s">
        <v>517</v>
      </c>
      <c r="B581">
        <v>100241</v>
      </c>
      <c r="C581" t="s">
        <v>512</v>
      </c>
      <c r="D581" t="s">
        <v>512</v>
      </c>
    </row>
    <row r="582" spans="1:4" x14ac:dyDescent="0.3">
      <c r="A582" t="s">
        <v>517</v>
      </c>
      <c r="B582">
        <v>100241</v>
      </c>
      <c r="C582" t="s">
        <v>513</v>
      </c>
      <c r="D582" t="s">
        <v>513</v>
      </c>
    </row>
    <row r="583" spans="1:4" x14ac:dyDescent="0.3">
      <c r="A583" t="s">
        <v>517</v>
      </c>
      <c r="B583">
        <v>100241</v>
      </c>
      <c r="C583" t="s">
        <v>514</v>
      </c>
      <c r="D583" t="s">
        <v>514</v>
      </c>
    </row>
    <row r="584" spans="1:4" x14ac:dyDescent="0.3">
      <c r="A584" t="s">
        <v>517</v>
      </c>
      <c r="B584">
        <v>100241</v>
      </c>
      <c r="C584" t="s">
        <v>515</v>
      </c>
      <c r="D584" t="s">
        <v>515</v>
      </c>
    </row>
    <row r="585" spans="1:4" x14ac:dyDescent="0.3">
      <c r="A585" t="s">
        <v>517</v>
      </c>
      <c r="B585">
        <v>100241</v>
      </c>
      <c r="C585" t="s">
        <v>516</v>
      </c>
      <c r="D585" t="s">
        <v>516</v>
      </c>
    </row>
    <row r="586" spans="1:4" x14ac:dyDescent="0.3">
      <c r="A586" t="s">
        <v>517</v>
      </c>
      <c r="B586">
        <v>100241</v>
      </c>
      <c r="C586" t="s">
        <v>500</v>
      </c>
      <c r="D586" t="s">
        <v>500</v>
      </c>
    </row>
    <row r="587" spans="1:4" x14ac:dyDescent="0.3">
      <c r="A587" t="s">
        <v>518</v>
      </c>
      <c r="B587">
        <v>100212</v>
      </c>
      <c r="C587" t="s">
        <v>178</v>
      </c>
      <c r="D587" t="s">
        <v>178</v>
      </c>
    </row>
    <row r="588" spans="1:4" x14ac:dyDescent="0.3">
      <c r="A588" t="s">
        <v>518</v>
      </c>
      <c r="B588">
        <v>100212</v>
      </c>
      <c r="C588" t="s">
        <v>122</v>
      </c>
      <c r="D588" t="s">
        <v>122</v>
      </c>
    </row>
    <row r="589" spans="1:4" x14ac:dyDescent="0.3">
      <c r="A589" t="s">
        <v>518</v>
      </c>
      <c r="B589">
        <v>100212</v>
      </c>
      <c r="C589" t="s">
        <v>124</v>
      </c>
      <c r="D589" t="s">
        <v>124</v>
      </c>
    </row>
    <row r="590" spans="1:4" x14ac:dyDescent="0.3">
      <c r="A590" t="s">
        <v>518</v>
      </c>
      <c r="B590">
        <v>100212</v>
      </c>
      <c r="C590" t="s">
        <v>119</v>
      </c>
      <c r="D590" t="s">
        <v>119</v>
      </c>
    </row>
    <row r="591" spans="1:4" x14ac:dyDescent="0.3">
      <c r="A591" t="s">
        <v>518</v>
      </c>
      <c r="B591">
        <v>100212</v>
      </c>
      <c r="C591" t="s">
        <v>519</v>
      </c>
      <c r="D591" t="s">
        <v>519</v>
      </c>
    </row>
    <row r="592" spans="1:4" x14ac:dyDescent="0.3">
      <c r="A592" t="s">
        <v>518</v>
      </c>
      <c r="B592">
        <v>100212</v>
      </c>
      <c r="C592" t="s">
        <v>500</v>
      </c>
      <c r="D592" t="s">
        <v>500</v>
      </c>
    </row>
    <row r="593" spans="1:4" x14ac:dyDescent="0.3">
      <c r="A593" t="s">
        <v>520</v>
      </c>
      <c r="B593">
        <v>100242</v>
      </c>
      <c r="C593" t="s">
        <v>521</v>
      </c>
      <c r="D593" t="s">
        <v>443</v>
      </c>
    </row>
    <row r="594" spans="1:4" x14ac:dyDescent="0.3">
      <c r="A594" t="s">
        <v>520</v>
      </c>
      <c r="B594">
        <v>100242</v>
      </c>
      <c r="C594" t="s">
        <v>522</v>
      </c>
      <c r="D594" t="s">
        <v>245</v>
      </c>
    </row>
    <row r="595" spans="1:4" x14ac:dyDescent="0.3">
      <c r="A595" t="s">
        <v>520</v>
      </c>
      <c r="B595">
        <v>100242</v>
      </c>
      <c r="C595" t="s">
        <v>523</v>
      </c>
      <c r="D595" t="s">
        <v>243</v>
      </c>
    </row>
    <row r="596" spans="1:4" x14ac:dyDescent="0.3">
      <c r="A596" t="s">
        <v>520</v>
      </c>
      <c r="B596">
        <v>100242</v>
      </c>
      <c r="C596" t="s">
        <v>524</v>
      </c>
      <c r="D596" t="s">
        <v>239</v>
      </c>
    </row>
    <row r="597" spans="1:4" x14ac:dyDescent="0.3">
      <c r="A597" t="s">
        <v>520</v>
      </c>
      <c r="B597">
        <v>100242</v>
      </c>
      <c r="C597" t="s">
        <v>525</v>
      </c>
      <c r="D597" t="s">
        <v>237</v>
      </c>
    </row>
    <row r="598" spans="1:4" x14ac:dyDescent="0.3">
      <c r="A598" t="s">
        <v>526</v>
      </c>
      <c r="B598">
        <v>100243</v>
      </c>
      <c r="C598" t="s">
        <v>121</v>
      </c>
      <c r="D598" t="s">
        <v>121</v>
      </c>
    </row>
    <row r="599" spans="1:4" x14ac:dyDescent="0.3">
      <c r="A599" t="s">
        <v>526</v>
      </c>
      <c r="B599">
        <v>100243</v>
      </c>
      <c r="C599" t="s">
        <v>527</v>
      </c>
      <c r="D599" t="s">
        <v>527</v>
      </c>
    </row>
    <row r="600" spans="1:4" x14ac:dyDescent="0.3">
      <c r="A600" t="s">
        <v>526</v>
      </c>
      <c r="B600">
        <v>100243</v>
      </c>
      <c r="C600" t="s">
        <v>120</v>
      </c>
      <c r="D600" t="s">
        <v>120</v>
      </c>
    </row>
    <row r="601" spans="1:4" x14ac:dyDescent="0.3">
      <c r="A601" t="s">
        <v>526</v>
      </c>
      <c r="B601">
        <v>100243</v>
      </c>
      <c r="C601" t="s">
        <v>528</v>
      </c>
      <c r="D601" t="s">
        <v>528</v>
      </c>
    </row>
    <row r="602" spans="1:4" x14ac:dyDescent="0.3">
      <c r="A602" t="s">
        <v>529</v>
      </c>
      <c r="B602">
        <v>100244</v>
      </c>
      <c r="C602" t="s">
        <v>121</v>
      </c>
      <c r="D602" t="s">
        <v>121</v>
      </c>
    </row>
    <row r="603" spans="1:4" x14ac:dyDescent="0.3">
      <c r="A603" t="s">
        <v>529</v>
      </c>
      <c r="B603">
        <v>100244</v>
      </c>
      <c r="C603" t="s">
        <v>527</v>
      </c>
      <c r="D603" t="s">
        <v>527</v>
      </c>
    </row>
    <row r="604" spans="1:4" x14ac:dyDescent="0.3">
      <c r="A604" t="s">
        <v>529</v>
      </c>
      <c r="B604">
        <v>100244</v>
      </c>
      <c r="C604" t="s">
        <v>530</v>
      </c>
      <c r="D604" t="s">
        <v>530</v>
      </c>
    </row>
    <row r="605" spans="1:4" x14ac:dyDescent="0.3">
      <c r="A605" t="s">
        <v>529</v>
      </c>
      <c r="B605">
        <v>100244</v>
      </c>
      <c r="C605" t="s">
        <v>531</v>
      </c>
      <c r="D605" t="s">
        <v>531</v>
      </c>
    </row>
    <row r="606" spans="1:4" x14ac:dyDescent="0.3">
      <c r="A606" t="s">
        <v>532</v>
      </c>
      <c r="B606">
        <v>100245</v>
      </c>
      <c r="C606" t="s">
        <v>533</v>
      </c>
      <c r="D606" t="s">
        <v>533</v>
      </c>
    </row>
    <row r="607" spans="1:4" x14ac:dyDescent="0.3">
      <c r="A607" t="s">
        <v>532</v>
      </c>
      <c r="B607">
        <v>100245</v>
      </c>
      <c r="C607" t="s">
        <v>527</v>
      </c>
      <c r="D607" t="s">
        <v>527</v>
      </c>
    </row>
    <row r="608" spans="1:4" x14ac:dyDescent="0.3">
      <c r="A608" t="s">
        <v>532</v>
      </c>
      <c r="B608">
        <v>100245</v>
      </c>
      <c r="C608" t="s">
        <v>530</v>
      </c>
      <c r="D608" t="s">
        <v>530</v>
      </c>
    </row>
    <row r="609" spans="1:4" x14ac:dyDescent="0.3">
      <c r="A609" t="s">
        <v>532</v>
      </c>
      <c r="B609">
        <v>100245</v>
      </c>
      <c r="C609" t="s">
        <v>534</v>
      </c>
      <c r="D609" t="s">
        <v>534</v>
      </c>
    </row>
    <row r="610" spans="1:4" x14ac:dyDescent="0.3">
      <c r="A610" t="s">
        <v>535</v>
      </c>
      <c r="B610">
        <v>100246</v>
      </c>
      <c r="C610" t="s">
        <v>121</v>
      </c>
      <c r="D610" t="s">
        <v>121</v>
      </c>
    </row>
    <row r="611" spans="1:4" x14ac:dyDescent="0.3">
      <c r="A611" t="s">
        <v>535</v>
      </c>
      <c r="B611">
        <v>100246</v>
      </c>
      <c r="C611" t="s">
        <v>527</v>
      </c>
      <c r="D611" t="s">
        <v>527</v>
      </c>
    </row>
    <row r="612" spans="1:4" x14ac:dyDescent="0.3">
      <c r="A612" t="s">
        <v>535</v>
      </c>
      <c r="B612">
        <v>100246</v>
      </c>
      <c r="C612" t="s">
        <v>120</v>
      </c>
      <c r="D612" t="s">
        <v>120</v>
      </c>
    </row>
    <row r="613" spans="1:4" x14ac:dyDescent="0.3">
      <c r="A613" t="s">
        <v>535</v>
      </c>
      <c r="B613">
        <v>100246</v>
      </c>
      <c r="C613" t="s">
        <v>536</v>
      </c>
      <c r="D613" t="s">
        <v>536</v>
      </c>
    </row>
    <row r="614" spans="1:4" x14ac:dyDescent="0.3">
      <c r="A614" t="s">
        <v>537</v>
      </c>
      <c r="B614">
        <v>100247</v>
      </c>
      <c r="C614" t="s">
        <v>121</v>
      </c>
      <c r="D614" t="s">
        <v>121</v>
      </c>
    </row>
    <row r="615" spans="1:4" x14ac:dyDescent="0.3">
      <c r="A615" t="s">
        <v>537</v>
      </c>
      <c r="B615">
        <v>100247</v>
      </c>
      <c r="C615" t="s">
        <v>120</v>
      </c>
      <c r="D615" t="s">
        <v>120</v>
      </c>
    </row>
    <row r="616" spans="1:4" x14ac:dyDescent="0.3">
      <c r="A616" t="s">
        <v>537</v>
      </c>
      <c r="B616">
        <v>100247</v>
      </c>
      <c r="C616" t="s">
        <v>500</v>
      </c>
      <c r="D616" t="s">
        <v>500</v>
      </c>
    </row>
    <row r="617" spans="1:4" x14ac:dyDescent="0.3">
      <c r="A617" t="s">
        <v>538</v>
      </c>
      <c r="B617">
        <v>100248</v>
      </c>
      <c r="C617" t="s">
        <v>121</v>
      </c>
      <c r="D617" t="s">
        <v>121</v>
      </c>
    </row>
    <row r="618" spans="1:4" x14ac:dyDescent="0.3">
      <c r="A618" t="s">
        <v>538</v>
      </c>
      <c r="B618">
        <v>100248</v>
      </c>
      <c r="C618" t="s">
        <v>120</v>
      </c>
      <c r="D618" t="s">
        <v>120</v>
      </c>
    </row>
    <row r="619" spans="1:4" x14ac:dyDescent="0.3">
      <c r="A619" t="s">
        <v>538</v>
      </c>
      <c r="B619">
        <v>100248</v>
      </c>
      <c r="C619" t="s">
        <v>500</v>
      </c>
      <c r="D619" t="s">
        <v>500</v>
      </c>
    </row>
    <row r="620" spans="1:4" x14ac:dyDescent="0.3">
      <c r="A620" t="s">
        <v>539</v>
      </c>
      <c r="B620">
        <v>100249</v>
      </c>
      <c r="C620" t="s">
        <v>121</v>
      </c>
      <c r="D620" t="s">
        <v>121</v>
      </c>
    </row>
    <row r="621" spans="1:4" x14ac:dyDescent="0.3">
      <c r="A621" t="s">
        <v>539</v>
      </c>
      <c r="B621">
        <v>100249</v>
      </c>
      <c r="C621" t="s">
        <v>120</v>
      </c>
      <c r="D621" t="s">
        <v>120</v>
      </c>
    </row>
    <row r="622" spans="1:4" x14ac:dyDescent="0.3">
      <c r="A622" t="s">
        <v>539</v>
      </c>
      <c r="B622">
        <v>100249</v>
      </c>
      <c r="C622" t="s">
        <v>500</v>
      </c>
      <c r="D622" t="s">
        <v>500</v>
      </c>
    </row>
    <row r="623" spans="1:4" x14ac:dyDescent="0.3">
      <c r="A623" t="s">
        <v>540</v>
      </c>
      <c r="B623">
        <v>100250</v>
      </c>
      <c r="C623" t="s">
        <v>121</v>
      </c>
      <c r="D623" t="s">
        <v>121</v>
      </c>
    </row>
    <row r="624" spans="1:4" x14ac:dyDescent="0.3">
      <c r="A624" t="s">
        <v>540</v>
      </c>
      <c r="B624">
        <v>100250</v>
      </c>
      <c r="C624" t="s">
        <v>120</v>
      </c>
      <c r="D624" t="s">
        <v>120</v>
      </c>
    </row>
    <row r="625" spans="1:4" x14ac:dyDescent="0.3">
      <c r="A625" t="s">
        <v>540</v>
      </c>
      <c r="B625">
        <v>100250</v>
      </c>
      <c r="C625" t="s">
        <v>527</v>
      </c>
      <c r="D625" t="s">
        <v>527</v>
      </c>
    </row>
    <row r="626" spans="1:4" x14ac:dyDescent="0.3">
      <c r="A626" t="s">
        <v>541</v>
      </c>
      <c r="B626">
        <v>100254</v>
      </c>
      <c r="C626" t="s">
        <v>121</v>
      </c>
      <c r="D626" t="s">
        <v>121</v>
      </c>
    </row>
    <row r="627" spans="1:4" x14ac:dyDescent="0.3">
      <c r="A627" t="s">
        <v>541</v>
      </c>
      <c r="B627">
        <v>100254</v>
      </c>
      <c r="C627" t="s">
        <v>120</v>
      </c>
      <c r="D627" t="s">
        <v>120</v>
      </c>
    </row>
    <row r="628" spans="1:4" x14ac:dyDescent="0.3">
      <c r="A628" t="s">
        <v>541</v>
      </c>
      <c r="B628">
        <v>100254</v>
      </c>
      <c r="C628" t="s">
        <v>527</v>
      </c>
      <c r="D628" t="s">
        <v>527</v>
      </c>
    </row>
    <row r="629" spans="1:4" x14ac:dyDescent="0.3">
      <c r="A629" t="s">
        <v>542</v>
      </c>
      <c r="B629">
        <v>100255</v>
      </c>
      <c r="C629" t="s">
        <v>121</v>
      </c>
      <c r="D629" t="s">
        <v>121</v>
      </c>
    </row>
    <row r="630" spans="1:4" x14ac:dyDescent="0.3">
      <c r="A630" t="s">
        <v>542</v>
      </c>
      <c r="B630">
        <v>100255</v>
      </c>
      <c r="C630" t="s">
        <v>120</v>
      </c>
      <c r="D630" t="s">
        <v>120</v>
      </c>
    </row>
    <row r="631" spans="1:4" x14ac:dyDescent="0.3">
      <c r="A631" t="s">
        <v>542</v>
      </c>
      <c r="B631">
        <v>100255</v>
      </c>
      <c r="C631" t="s">
        <v>527</v>
      </c>
      <c r="D631" t="s">
        <v>527</v>
      </c>
    </row>
    <row r="632" spans="1:4" x14ac:dyDescent="0.3">
      <c r="A632" t="s">
        <v>543</v>
      </c>
      <c r="B632">
        <v>100191</v>
      </c>
      <c r="C632" t="s">
        <v>544</v>
      </c>
      <c r="D632" t="s">
        <v>544</v>
      </c>
    </row>
    <row r="633" spans="1:4" x14ac:dyDescent="0.3">
      <c r="A633" t="s">
        <v>543</v>
      </c>
      <c r="B633">
        <v>100191</v>
      </c>
      <c r="C633" t="s">
        <v>545</v>
      </c>
      <c r="D633" t="s">
        <v>545</v>
      </c>
    </row>
    <row r="634" spans="1:4" x14ac:dyDescent="0.3">
      <c r="A634" t="s">
        <v>543</v>
      </c>
      <c r="B634">
        <v>100191</v>
      </c>
      <c r="C634" t="s">
        <v>546</v>
      </c>
      <c r="D634" t="s">
        <v>546</v>
      </c>
    </row>
    <row r="635" spans="1:4" x14ac:dyDescent="0.3">
      <c r="A635" t="s">
        <v>543</v>
      </c>
      <c r="B635">
        <v>100191</v>
      </c>
      <c r="C635" t="s">
        <v>547</v>
      </c>
      <c r="D635" t="s">
        <v>547</v>
      </c>
    </row>
    <row r="636" spans="1:4" x14ac:dyDescent="0.3">
      <c r="A636" t="s">
        <v>548</v>
      </c>
      <c r="B636">
        <v>100192</v>
      </c>
      <c r="C636" t="s">
        <v>122</v>
      </c>
      <c r="D636" t="s">
        <v>122</v>
      </c>
    </row>
    <row r="637" spans="1:4" x14ac:dyDescent="0.3">
      <c r="A637" t="s">
        <v>548</v>
      </c>
      <c r="B637">
        <v>100192</v>
      </c>
      <c r="C637" t="s">
        <v>124</v>
      </c>
      <c r="D637" t="s">
        <v>124</v>
      </c>
    </row>
    <row r="638" spans="1:4" x14ac:dyDescent="0.3">
      <c r="A638" t="s">
        <v>548</v>
      </c>
      <c r="B638">
        <v>100192</v>
      </c>
      <c r="C638" t="s">
        <v>119</v>
      </c>
      <c r="D638" t="s">
        <v>119</v>
      </c>
    </row>
    <row r="639" spans="1:4" x14ac:dyDescent="0.3">
      <c r="A639" t="s">
        <v>548</v>
      </c>
      <c r="B639">
        <v>100192</v>
      </c>
      <c r="C639" t="s">
        <v>194</v>
      </c>
      <c r="D639" t="s">
        <v>194</v>
      </c>
    </row>
    <row r="640" spans="1:4" x14ac:dyDescent="0.3">
      <c r="A640" t="s">
        <v>549</v>
      </c>
      <c r="B640">
        <v>100193</v>
      </c>
      <c r="C640" t="s">
        <v>122</v>
      </c>
      <c r="D640" t="s">
        <v>122</v>
      </c>
    </row>
    <row r="641" spans="1:4" x14ac:dyDescent="0.3">
      <c r="A641" t="s">
        <v>549</v>
      </c>
      <c r="B641">
        <v>100193</v>
      </c>
      <c r="C641" t="s">
        <v>124</v>
      </c>
      <c r="D641" t="s">
        <v>124</v>
      </c>
    </row>
    <row r="642" spans="1:4" x14ac:dyDescent="0.3">
      <c r="A642" t="s">
        <v>549</v>
      </c>
      <c r="B642">
        <v>100193</v>
      </c>
      <c r="C642" t="s">
        <v>119</v>
      </c>
      <c r="D642" t="s">
        <v>119</v>
      </c>
    </row>
    <row r="643" spans="1:4" x14ac:dyDescent="0.3">
      <c r="A643" t="s">
        <v>549</v>
      </c>
      <c r="B643">
        <v>100193</v>
      </c>
      <c r="C643" t="s">
        <v>194</v>
      </c>
      <c r="D643" t="s">
        <v>194</v>
      </c>
    </row>
    <row r="644" spans="1:4" x14ac:dyDescent="0.3">
      <c r="A644" t="s">
        <v>550</v>
      </c>
      <c r="B644">
        <v>100195</v>
      </c>
      <c r="C644" t="s">
        <v>178</v>
      </c>
      <c r="D644" t="s">
        <v>178</v>
      </c>
    </row>
    <row r="645" spans="1:4" x14ac:dyDescent="0.3">
      <c r="A645" t="s">
        <v>550</v>
      </c>
      <c r="B645">
        <v>100195</v>
      </c>
      <c r="C645" t="s">
        <v>122</v>
      </c>
      <c r="D645" t="s">
        <v>122</v>
      </c>
    </row>
    <row r="646" spans="1:4" x14ac:dyDescent="0.3">
      <c r="A646" t="s">
        <v>550</v>
      </c>
      <c r="B646">
        <v>100195</v>
      </c>
      <c r="C646" t="s">
        <v>124</v>
      </c>
      <c r="D646" t="s">
        <v>124</v>
      </c>
    </row>
    <row r="647" spans="1:4" x14ac:dyDescent="0.3">
      <c r="A647" t="s">
        <v>550</v>
      </c>
      <c r="B647">
        <v>100195</v>
      </c>
      <c r="C647" t="s">
        <v>119</v>
      </c>
      <c r="D647" t="s">
        <v>119</v>
      </c>
    </row>
    <row r="648" spans="1:4" x14ac:dyDescent="0.3">
      <c r="A648" t="s">
        <v>550</v>
      </c>
      <c r="B648">
        <v>100195</v>
      </c>
      <c r="C648" t="s">
        <v>551</v>
      </c>
      <c r="D648" t="s">
        <v>551</v>
      </c>
    </row>
    <row r="649" spans="1:4" x14ac:dyDescent="0.3">
      <c r="A649" t="s">
        <v>550</v>
      </c>
      <c r="B649">
        <v>100195</v>
      </c>
      <c r="C649" t="s">
        <v>552</v>
      </c>
      <c r="D649" t="s">
        <v>552</v>
      </c>
    </row>
    <row r="650" spans="1:4" x14ac:dyDescent="0.3">
      <c r="A650" t="s">
        <v>553</v>
      </c>
      <c r="B650">
        <v>100199</v>
      </c>
      <c r="C650" t="s">
        <v>554</v>
      </c>
      <c r="D650" t="s">
        <v>554</v>
      </c>
    </row>
    <row r="651" spans="1:4" x14ac:dyDescent="0.3">
      <c r="A651" t="s">
        <v>553</v>
      </c>
      <c r="B651">
        <v>100199</v>
      </c>
      <c r="C651" t="s">
        <v>555</v>
      </c>
      <c r="D651" t="s">
        <v>555</v>
      </c>
    </row>
    <row r="652" spans="1:4" x14ac:dyDescent="0.3">
      <c r="A652" t="s">
        <v>553</v>
      </c>
      <c r="B652">
        <v>100199</v>
      </c>
      <c r="C652" t="s">
        <v>500</v>
      </c>
      <c r="D652" t="s">
        <v>500</v>
      </c>
    </row>
    <row r="653" spans="1:4" x14ac:dyDescent="0.3">
      <c r="A653" t="s">
        <v>556</v>
      </c>
      <c r="B653">
        <v>100057</v>
      </c>
      <c r="C653" t="s">
        <v>226</v>
      </c>
      <c r="D653" t="s">
        <v>226</v>
      </c>
    </row>
    <row r="654" spans="1:4" x14ac:dyDescent="0.3">
      <c r="A654" t="s">
        <v>556</v>
      </c>
      <c r="B654">
        <v>100057</v>
      </c>
      <c r="C654" t="s">
        <v>227</v>
      </c>
      <c r="D654" t="s">
        <v>227</v>
      </c>
    </row>
    <row r="655" spans="1:4" x14ac:dyDescent="0.3">
      <c r="A655" t="s">
        <v>556</v>
      </c>
      <c r="B655">
        <v>100057</v>
      </c>
      <c r="C655" t="s">
        <v>228</v>
      </c>
      <c r="D655" t="s">
        <v>228</v>
      </c>
    </row>
    <row r="656" spans="1:4" x14ac:dyDescent="0.3">
      <c r="A656" t="s">
        <v>556</v>
      </c>
      <c r="B656">
        <v>100057</v>
      </c>
      <c r="C656" t="s">
        <v>229</v>
      </c>
      <c r="D656" t="s">
        <v>229</v>
      </c>
    </row>
    <row r="657" spans="1:4" x14ac:dyDescent="0.3">
      <c r="A657" t="s">
        <v>556</v>
      </c>
      <c r="B657">
        <v>100057</v>
      </c>
      <c r="C657" t="s">
        <v>230</v>
      </c>
      <c r="D657" t="s">
        <v>230</v>
      </c>
    </row>
    <row r="658" spans="1:4" x14ac:dyDescent="0.3">
      <c r="A658" t="s">
        <v>556</v>
      </c>
      <c r="B658">
        <v>100057</v>
      </c>
      <c r="C658" t="s">
        <v>231</v>
      </c>
      <c r="D658" t="s">
        <v>231</v>
      </c>
    </row>
    <row r="659" spans="1:4" x14ac:dyDescent="0.3">
      <c r="A659" t="s">
        <v>556</v>
      </c>
      <c r="B659">
        <v>100057</v>
      </c>
      <c r="C659" t="s">
        <v>557</v>
      </c>
      <c r="D659" t="s">
        <v>557</v>
      </c>
    </row>
    <row r="660" spans="1:4" x14ac:dyDescent="0.3">
      <c r="A660" t="s">
        <v>556</v>
      </c>
      <c r="B660">
        <v>100057</v>
      </c>
      <c r="C660" t="s">
        <v>558</v>
      </c>
      <c r="D660" t="s">
        <v>558</v>
      </c>
    </row>
    <row r="661" spans="1:4" x14ac:dyDescent="0.3">
      <c r="A661" t="s">
        <v>556</v>
      </c>
      <c r="B661">
        <v>100057</v>
      </c>
      <c r="C661" t="s">
        <v>559</v>
      </c>
      <c r="D661" t="s">
        <v>559</v>
      </c>
    </row>
    <row r="662" spans="1:4" x14ac:dyDescent="0.3">
      <c r="A662" t="s">
        <v>556</v>
      </c>
      <c r="B662">
        <v>100057</v>
      </c>
      <c r="C662" t="s">
        <v>155</v>
      </c>
      <c r="D662" t="s">
        <v>155</v>
      </c>
    </row>
    <row r="663" spans="1:4" x14ac:dyDescent="0.3">
      <c r="A663" t="s">
        <v>556</v>
      </c>
      <c r="B663">
        <v>100057</v>
      </c>
      <c r="C663" t="s">
        <v>426</v>
      </c>
      <c r="D663" t="s">
        <v>426</v>
      </c>
    </row>
    <row r="664" spans="1:4" x14ac:dyDescent="0.3">
      <c r="A664" t="s">
        <v>560</v>
      </c>
      <c r="B664">
        <v>100256</v>
      </c>
      <c r="C664" t="s">
        <v>561</v>
      </c>
      <c r="D664" t="s">
        <v>561</v>
      </c>
    </row>
    <row r="665" spans="1:4" x14ac:dyDescent="0.3">
      <c r="A665" t="s">
        <v>560</v>
      </c>
      <c r="B665">
        <v>100256</v>
      </c>
      <c r="C665" t="s">
        <v>562</v>
      </c>
      <c r="D665" t="s">
        <v>562</v>
      </c>
    </row>
    <row r="666" spans="1:4" x14ac:dyDescent="0.3">
      <c r="A666" t="s">
        <v>560</v>
      </c>
      <c r="B666">
        <v>100256</v>
      </c>
      <c r="C666" t="s">
        <v>563</v>
      </c>
      <c r="D666" t="s">
        <v>563</v>
      </c>
    </row>
    <row r="667" spans="1:4" x14ac:dyDescent="0.3">
      <c r="A667" t="s">
        <v>560</v>
      </c>
      <c r="B667">
        <v>100256</v>
      </c>
      <c r="C667" t="s">
        <v>564</v>
      </c>
      <c r="D667" t="s">
        <v>564</v>
      </c>
    </row>
    <row r="668" spans="1:4" x14ac:dyDescent="0.3">
      <c r="A668" t="s">
        <v>560</v>
      </c>
      <c r="B668">
        <v>100256</v>
      </c>
      <c r="C668" t="s">
        <v>152</v>
      </c>
      <c r="D668" t="s">
        <v>152</v>
      </c>
    </row>
    <row r="669" spans="1:4" x14ac:dyDescent="0.3">
      <c r="A669" t="s">
        <v>560</v>
      </c>
      <c r="B669">
        <v>100256</v>
      </c>
      <c r="C669" t="s">
        <v>194</v>
      </c>
      <c r="D669" t="s">
        <v>194</v>
      </c>
    </row>
    <row r="670" spans="1:4" x14ac:dyDescent="0.3">
      <c r="A670" t="s">
        <v>565</v>
      </c>
      <c r="B670">
        <v>100257</v>
      </c>
      <c r="C670" t="s">
        <v>561</v>
      </c>
      <c r="D670" t="s">
        <v>561</v>
      </c>
    </row>
    <row r="671" spans="1:4" x14ac:dyDescent="0.3">
      <c r="A671" t="s">
        <v>565</v>
      </c>
      <c r="B671">
        <v>100257</v>
      </c>
      <c r="C671" t="s">
        <v>562</v>
      </c>
      <c r="D671" t="s">
        <v>562</v>
      </c>
    </row>
    <row r="672" spans="1:4" x14ac:dyDescent="0.3">
      <c r="A672" t="s">
        <v>565</v>
      </c>
      <c r="B672">
        <v>100257</v>
      </c>
      <c r="C672" t="s">
        <v>563</v>
      </c>
      <c r="D672" t="s">
        <v>563</v>
      </c>
    </row>
    <row r="673" spans="1:4" x14ac:dyDescent="0.3">
      <c r="A673" t="s">
        <v>565</v>
      </c>
      <c r="B673">
        <v>100257</v>
      </c>
      <c r="C673" t="s">
        <v>152</v>
      </c>
      <c r="D673" t="s">
        <v>152</v>
      </c>
    </row>
    <row r="674" spans="1:4" x14ac:dyDescent="0.3">
      <c r="A674" t="s">
        <v>565</v>
      </c>
      <c r="B674">
        <v>100257</v>
      </c>
      <c r="C674" t="s">
        <v>194</v>
      </c>
      <c r="D674" t="s">
        <v>194</v>
      </c>
    </row>
    <row r="675" spans="1:4" x14ac:dyDescent="0.3">
      <c r="A675" t="s">
        <v>566</v>
      </c>
      <c r="B675">
        <v>100258</v>
      </c>
      <c r="C675" t="s">
        <v>567</v>
      </c>
      <c r="D675" t="s">
        <v>567</v>
      </c>
    </row>
    <row r="676" spans="1:4" x14ac:dyDescent="0.3">
      <c r="A676" t="s">
        <v>566</v>
      </c>
      <c r="B676">
        <v>100258</v>
      </c>
      <c r="C676" t="s">
        <v>568</v>
      </c>
      <c r="D676" t="s">
        <v>568</v>
      </c>
    </row>
    <row r="677" spans="1:4" x14ac:dyDescent="0.3">
      <c r="A677" t="s">
        <v>566</v>
      </c>
      <c r="B677">
        <v>100258</v>
      </c>
      <c r="C677" t="s">
        <v>569</v>
      </c>
      <c r="D677" t="s">
        <v>569</v>
      </c>
    </row>
    <row r="678" spans="1:4" x14ac:dyDescent="0.3">
      <c r="A678" t="s">
        <v>566</v>
      </c>
      <c r="B678">
        <v>100258</v>
      </c>
      <c r="C678" t="s">
        <v>570</v>
      </c>
      <c r="D678" t="s">
        <v>570</v>
      </c>
    </row>
    <row r="679" spans="1:4" x14ac:dyDescent="0.3">
      <c r="A679" t="s">
        <v>566</v>
      </c>
      <c r="B679">
        <v>100258</v>
      </c>
      <c r="C679" t="s">
        <v>500</v>
      </c>
      <c r="D679" t="s">
        <v>500</v>
      </c>
    </row>
    <row r="680" spans="1:4" x14ac:dyDescent="0.3">
      <c r="A680" t="s">
        <v>571</v>
      </c>
      <c r="B680">
        <v>100259</v>
      </c>
      <c r="C680" t="s">
        <v>572</v>
      </c>
      <c r="D680" t="s">
        <v>572</v>
      </c>
    </row>
    <row r="681" spans="1:4" x14ac:dyDescent="0.3">
      <c r="A681" t="s">
        <v>571</v>
      </c>
      <c r="B681">
        <v>100259</v>
      </c>
      <c r="C681" t="s">
        <v>573</v>
      </c>
      <c r="D681" t="s">
        <v>573</v>
      </c>
    </row>
    <row r="682" spans="1:4" x14ac:dyDescent="0.3">
      <c r="A682" t="s">
        <v>571</v>
      </c>
      <c r="B682">
        <v>100259</v>
      </c>
      <c r="C682" t="s">
        <v>500</v>
      </c>
      <c r="D682" t="s">
        <v>500</v>
      </c>
    </row>
    <row r="683" spans="1:4" x14ac:dyDescent="0.3">
      <c r="A683" t="s">
        <v>574</v>
      </c>
      <c r="B683">
        <v>100214</v>
      </c>
      <c r="C683" t="s">
        <v>575</v>
      </c>
      <c r="D683" t="s">
        <v>575</v>
      </c>
    </row>
    <row r="684" spans="1:4" x14ac:dyDescent="0.3">
      <c r="A684" t="s">
        <v>574</v>
      </c>
      <c r="B684">
        <v>100214</v>
      </c>
      <c r="C684" t="s">
        <v>576</v>
      </c>
      <c r="D684" t="s">
        <v>576</v>
      </c>
    </row>
    <row r="685" spans="1:4" x14ac:dyDescent="0.3">
      <c r="A685" t="s">
        <v>574</v>
      </c>
      <c r="B685">
        <v>100214</v>
      </c>
      <c r="C685" t="s">
        <v>577</v>
      </c>
      <c r="D685" t="s">
        <v>577</v>
      </c>
    </row>
    <row r="686" spans="1:4" x14ac:dyDescent="0.3">
      <c r="A686" t="s">
        <v>578</v>
      </c>
      <c r="B686">
        <v>100058</v>
      </c>
      <c r="C686" t="s">
        <v>178</v>
      </c>
      <c r="D686" t="s">
        <v>178</v>
      </c>
    </row>
    <row r="687" spans="1:4" x14ac:dyDescent="0.3">
      <c r="A687" t="s">
        <v>578</v>
      </c>
      <c r="B687">
        <v>100058</v>
      </c>
      <c r="C687" t="s">
        <v>122</v>
      </c>
      <c r="D687" t="s">
        <v>122</v>
      </c>
    </row>
    <row r="688" spans="1:4" x14ac:dyDescent="0.3">
      <c r="A688" t="s">
        <v>578</v>
      </c>
      <c r="B688">
        <v>100058</v>
      </c>
      <c r="C688" t="s">
        <v>124</v>
      </c>
      <c r="D688" t="s">
        <v>124</v>
      </c>
    </row>
    <row r="689" spans="1:4" x14ac:dyDescent="0.3">
      <c r="A689" t="s">
        <v>578</v>
      </c>
      <c r="B689">
        <v>100058</v>
      </c>
      <c r="C689" t="s">
        <v>119</v>
      </c>
      <c r="D689" t="s">
        <v>119</v>
      </c>
    </row>
    <row r="690" spans="1:4" x14ac:dyDescent="0.3">
      <c r="A690" t="s">
        <v>578</v>
      </c>
      <c r="B690">
        <v>100058</v>
      </c>
      <c r="C690" t="s">
        <v>206</v>
      </c>
      <c r="D690" t="s">
        <v>206</v>
      </c>
    </row>
    <row r="691" spans="1:4" x14ac:dyDescent="0.3">
      <c r="A691" t="s">
        <v>578</v>
      </c>
      <c r="B691">
        <v>100058</v>
      </c>
      <c r="C691" t="s">
        <v>205</v>
      </c>
      <c r="D691" t="s">
        <v>205</v>
      </c>
    </row>
    <row r="692" spans="1:4" x14ac:dyDescent="0.3">
      <c r="A692" t="s">
        <v>578</v>
      </c>
      <c r="B692">
        <v>100058</v>
      </c>
      <c r="C692" t="s">
        <v>579</v>
      </c>
      <c r="D692" t="s">
        <v>579</v>
      </c>
    </row>
    <row r="693" spans="1:4" x14ac:dyDescent="0.3">
      <c r="A693" t="s">
        <v>580</v>
      </c>
      <c r="B693">
        <v>100059</v>
      </c>
      <c r="C693" t="s">
        <v>178</v>
      </c>
      <c r="D693" t="s">
        <v>178</v>
      </c>
    </row>
    <row r="694" spans="1:4" x14ac:dyDescent="0.3">
      <c r="A694" t="s">
        <v>580</v>
      </c>
      <c r="B694">
        <v>100059</v>
      </c>
      <c r="C694" t="s">
        <v>122</v>
      </c>
      <c r="D694" t="s">
        <v>122</v>
      </c>
    </row>
    <row r="695" spans="1:4" x14ac:dyDescent="0.3">
      <c r="A695" t="s">
        <v>580</v>
      </c>
      <c r="B695">
        <v>100059</v>
      </c>
      <c r="C695" t="s">
        <v>124</v>
      </c>
      <c r="D695" t="s">
        <v>124</v>
      </c>
    </row>
    <row r="696" spans="1:4" x14ac:dyDescent="0.3">
      <c r="A696" t="s">
        <v>580</v>
      </c>
      <c r="B696">
        <v>100059</v>
      </c>
      <c r="C696" t="s">
        <v>119</v>
      </c>
      <c r="D696" t="s">
        <v>119</v>
      </c>
    </row>
    <row r="697" spans="1:4" x14ac:dyDescent="0.3">
      <c r="A697" t="s">
        <v>580</v>
      </c>
      <c r="B697">
        <v>100059</v>
      </c>
      <c r="C697" t="s">
        <v>206</v>
      </c>
      <c r="D697" t="s">
        <v>206</v>
      </c>
    </row>
    <row r="698" spans="1:4" x14ac:dyDescent="0.3">
      <c r="A698" t="s">
        <v>580</v>
      </c>
      <c r="B698">
        <v>100059</v>
      </c>
      <c r="C698" t="s">
        <v>205</v>
      </c>
      <c r="D698" t="s">
        <v>205</v>
      </c>
    </row>
    <row r="699" spans="1:4" x14ac:dyDescent="0.3">
      <c r="A699" t="s">
        <v>580</v>
      </c>
      <c r="B699">
        <v>100059</v>
      </c>
      <c r="C699" t="s">
        <v>581</v>
      </c>
      <c r="D699" t="s">
        <v>581</v>
      </c>
    </row>
    <row r="700" spans="1:4" x14ac:dyDescent="0.3">
      <c r="A700" t="s">
        <v>580</v>
      </c>
      <c r="B700">
        <v>100059</v>
      </c>
      <c r="C700" t="s">
        <v>582</v>
      </c>
      <c r="D700" t="s">
        <v>582</v>
      </c>
    </row>
    <row r="701" spans="1:4" x14ac:dyDescent="0.3">
      <c r="A701" t="s">
        <v>583</v>
      </c>
      <c r="B701">
        <v>100266</v>
      </c>
      <c r="C701" t="s">
        <v>584</v>
      </c>
      <c r="D701" t="s">
        <v>585</v>
      </c>
    </row>
    <row r="702" spans="1:4" x14ac:dyDescent="0.3">
      <c r="A702" t="s">
        <v>583</v>
      </c>
      <c r="B702">
        <v>100266</v>
      </c>
      <c r="C702" t="s">
        <v>586</v>
      </c>
      <c r="D702" t="s">
        <v>586</v>
      </c>
    </row>
    <row r="703" spans="1:4" x14ac:dyDescent="0.3">
      <c r="A703" t="s">
        <v>583</v>
      </c>
      <c r="B703">
        <v>100266</v>
      </c>
      <c r="C703" t="s">
        <v>587</v>
      </c>
      <c r="D703" t="s">
        <v>587</v>
      </c>
    </row>
    <row r="704" spans="1:4" x14ac:dyDescent="0.3">
      <c r="A704" t="s">
        <v>583</v>
      </c>
      <c r="B704">
        <v>100266</v>
      </c>
      <c r="C704" t="s">
        <v>588</v>
      </c>
      <c r="D704" t="s">
        <v>588</v>
      </c>
    </row>
    <row r="705" spans="1:4" x14ac:dyDescent="0.3">
      <c r="A705" t="s">
        <v>583</v>
      </c>
      <c r="B705">
        <v>100266</v>
      </c>
      <c r="C705" t="s">
        <v>589</v>
      </c>
      <c r="D705" t="s">
        <v>589</v>
      </c>
    </row>
    <row r="706" spans="1:4" x14ac:dyDescent="0.3">
      <c r="A706" t="s">
        <v>583</v>
      </c>
      <c r="B706">
        <v>100266</v>
      </c>
      <c r="C706" t="s">
        <v>590</v>
      </c>
      <c r="D706" t="s">
        <v>590</v>
      </c>
    </row>
    <row r="707" spans="1:4" x14ac:dyDescent="0.3">
      <c r="A707" t="s">
        <v>591</v>
      </c>
      <c r="B707">
        <v>100060</v>
      </c>
      <c r="C707" t="s">
        <v>122</v>
      </c>
      <c r="D707" t="s">
        <v>122</v>
      </c>
    </row>
    <row r="708" spans="1:4" x14ac:dyDescent="0.3">
      <c r="A708" t="s">
        <v>591</v>
      </c>
      <c r="B708">
        <v>100060</v>
      </c>
      <c r="C708" t="s">
        <v>124</v>
      </c>
      <c r="D708" t="s">
        <v>124</v>
      </c>
    </row>
    <row r="709" spans="1:4" x14ac:dyDescent="0.3">
      <c r="A709" t="s">
        <v>591</v>
      </c>
      <c r="B709">
        <v>100060</v>
      </c>
      <c r="C709" t="s">
        <v>119</v>
      </c>
      <c r="D709" t="s">
        <v>119</v>
      </c>
    </row>
    <row r="710" spans="1:4" x14ac:dyDescent="0.3">
      <c r="A710" t="s">
        <v>591</v>
      </c>
      <c r="B710">
        <v>100060</v>
      </c>
      <c r="C710" t="s">
        <v>592</v>
      </c>
      <c r="D710" t="s">
        <v>592</v>
      </c>
    </row>
    <row r="711" spans="1:4" x14ac:dyDescent="0.3">
      <c r="A711" t="s">
        <v>593</v>
      </c>
      <c r="B711">
        <v>100061</v>
      </c>
      <c r="C711" t="s">
        <v>594</v>
      </c>
      <c r="D711" t="s">
        <v>594</v>
      </c>
    </row>
    <row r="712" spans="1:4" x14ac:dyDescent="0.3">
      <c r="A712" t="s">
        <v>593</v>
      </c>
      <c r="B712">
        <v>100061</v>
      </c>
      <c r="C712" t="s">
        <v>595</v>
      </c>
      <c r="D712" t="s">
        <v>595</v>
      </c>
    </row>
    <row r="713" spans="1:4" x14ac:dyDescent="0.3">
      <c r="A713" t="s">
        <v>593</v>
      </c>
      <c r="B713">
        <v>100061</v>
      </c>
      <c r="C713" t="s">
        <v>596</v>
      </c>
      <c r="D713" t="s">
        <v>596</v>
      </c>
    </row>
    <row r="714" spans="1:4" x14ac:dyDescent="0.3">
      <c r="A714" t="s">
        <v>593</v>
      </c>
      <c r="B714">
        <v>100061</v>
      </c>
      <c r="C714" t="s">
        <v>597</v>
      </c>
      <c r="D714" t="s">
        <v>597</v>
      </c>
    </row>
    <row r="715" spans="1:4" x14ac:dyDescent="0.3">
      <c r="A715" t="s">
        <v>593</v>
      </c>
      <c r="B715">
        <v>100061</v>
      </c>
      <c r="C715" t="s">
        <v>123</v>
      </c>
      <c r="D715" t="s">
        <v>123</v>
      </c>
    </row>
    <row r="716" spans="1:4" x14ac:dyDescent="0.3">
      <c r="A716" t="s">
        <v>593</v>
      </c>
      <c r="B716">
        <v>100061</v>
      </c>
      <c r="C716" t="s">
        <v>579</v>
      </c>
      <c r="D716" t="s">
        <v>579</v>
      </c>
    </row>
    <row r="717" spans="1:4" x14ac:dyDescent="0.3">
      <c r="A717" t="s">
        <v>598</v>
      </c>
      <c r="B717">
        <v>100327</v>
      </c>
      <c r="C717" t="s">
        <v>599</v>
      </c>
      <c r="D717" t="s">
        <v>599</v>
      </c>
    </row>
    <row r="718" spans="1:4" x14ac:dyDescent="0.3">
      <c r="A718" t="s">
        <v>598</v>
      </c>
      <c r="B718">
        <v>100327</v>
      </c>
      <c r="C718" t="s">
        <v>600</v>
      </c>
      <c r="D718" t="s">
        <v>600</v>
      </c>
    </row>
    <row r="719" spans="1:4" x14ac:dyDescent="0.3">
      <c r="A719" t="s">
        <v>598</v>
      </c>
      <c r="B719">
        <v>100327</v>
      </c>
      <c r="C719" t="s">
        <v>601</v>
      </c>
      <c r="D719" t="s">
        <v>601</v>
      </c>
    </row>
    <row r="720" spans="1:4" x14ac:dyDescent="0.3">
      <c r="A720" t="s">
        <v>598</v>
      </c>
      <c r="B720">
        <v>100327</v>
      </c>
      <c r="C720" t="s">
        <v>596</v>
      </c>
      <c r="D720" t="s">
        <v>596</v>
      </c>
    </row>
    <row r="721" spans="1:4" x14ac:dyDescent="0.3">
      <c r="A721" t="s">
        <v>598</v>
      </c>
      <c r="B721">
        <v>100327</v>
      </c>
      <c r="C721" t="s">
        <v>602</v>
      </c>
      <c r="D721" t="s">
        <v>602</v>
      </c>
    </row>
    <row r="722" spans="1:4" x14ac:dyDescent="0.3">
      <c r="A722" t="s">
        <v>598</v>
      </c>
      <c r="B722">
        <v>100327</v>
      </c>
      <c r="C722" t="s">
        <v>206</v>
      </c>
      <c r="D722" t="s">
        <v>206</v>
      </c>
    </row>
    <row r="723" spans="1:4" x14ac:dyDescent="0.3">
      <c r="A723" t="s">
        <v>598</v>
      </c>
      <c r="B723">
        <v>100327</v>
      </c>
      <c r="C723" t="s">
        <v>205</v>
      </c>
      <c r="D723" t="s">
        <v>205</v>
      </c>
    </row>
    <row r="724" spans="1:4" x14ac:dyDescent="0.3">
      <c r="A724" t="s">
        <v>598</v>
      </c>
      <c r="B724">
        <v>100327</v>
      </c>
      <c r="C724" t="s">
        <v>579</v>
      </c>
      <c r="D724" t="s">
        <v>579</v>
      </c>
    </row>
    <row r="725" spans="1:4" x14ac:dyDescent="0.3">
      <c r="A725" t="s">
        <v>112</v>
      </c>
      <c r="B725">
        <v>100063</v>
      </c>
      <c r="C725" t="s">
        <v>178</v>
      </c>
      <c r="D725" t="s">
        <v>178</v>
      </c>
    </row>
    <row r="726" spans="1:4" x14ac:dyDescent="0.3">
      <c r="A726" t="s">
        <v>112</v>
      </c>
      <c r="B726">
        <v>100063</v>
      </c>
      <c r="C726" t="s">
        <v>122</v>
      </c>
      <c r="D726" t="s">
        <v>122</v>
      </c>
    </row>
    <row r="727" spans="1:4" x14ac:dyDescent="0.3">
      <c r="A727" t="s">
        <v>112</v>
      </c>
      <c r="B727">
        <v>100063</v>
      </c>
      <c r="C727" t="s">
        <v>124</v>
      </c>
      <c r="D727" t="s">
        <v>124</v>
      </c>
    </row>
    <row r="728" spans="1:4" x14ac:dyDescent="0.3">
      <c r="A728" t="s">
        <v>112</v>
      </c>
      <c r="B728">
        <v>100063</v>
      </c>
      <c r="C728" t="s">
        <v>119</v>
      </c>
      <c r="D728" t="s">
        <v>119</v>
      </c>
    </row>
    <row r="729" spans="1:4" x14ac:dyDescent="0.3">
      <c r="A729" t="s">
        <v>112</v>
      </c>
      <c r="B729">
        <v>100063</v>
      </c>
      <c r="C729" t="s">
        <v>194</v>
      </c>
      <c r="D729" t="s">
        <v>194</v>
      </c>
    </row>
    <row r="730" spans="1:4" x14ac:dyDescent="0.3">
      <c r="A730" t="s">
        <v>112</v>
      </c>
      <c r="B730">
        <v>100063</v>
      </c>
      <c r="C730" t="s">
        <v>123</v>
      </c>
      <c r="D730" t="s">
        <v>123</v>
      </c>
    </row>
    <row r="731" spans="1:4" x14ac:dyDescent="0.3">
      <c r="A731" t="s">
        <v>603</v>
      </c>
      <c r="B731">
        <v>100066</v>
      </c>
      <c r="C731" t="s">
        <v>122</v>
      </c>
      <c r="D731" t="s">
        <v>122</v>
      </c>
    </row>
    <row r="732" spans="1:4" x14ac:dyDescent="0.3">
      <c r="A732" t="s">
        <v>603</v>
      </c>
      <c r="B732">
        <v>100066</v>
      </c>
      <c r="C732" t="s">
        <v>124</v>
      </c>
      <c r="D732" t="s">
        <v>124</v>
      </c>
    </row>
    <row r="733" spans="1:4" x14ac:dyDescent="0.3">
      <c r="A733" t="s">
        <v>603</v>
      </c>
      <c r="B733">
        <v>100066</v>
      </c>
      <c r="C733" t="s">
        <v>119</v>
      </c>
      <c r="D733" t="s">
        <v>119</v>
      </c>
    </row>
    <row r="734" spans="1:4" x14ac:dyDescent="0.3">
      <c r="A734" t="s">
        <v>603</v>
      </c>
      <c r="B734">
        <v>100066</v>
      </c>
      <c r="C734" t="s">
        <v>592</v>
      </c>
      <c r="D734" t="s">
        <v>592</v>
      </c>
    </row>
    <row r="735" spans="1:4" x14ac:dyDescent="0.3">
      <c r="A735" t="s">
        <v>393</v>
      </c>
      <c r="B735">
        <v>100067</v>
      </c>
      <c r="C735" t="s">
        <v>192</v>
      </c>
      <c r="D735" t="s">
        <v>192</v>
      </c>
    </row>
    <row r="736" spans="1:4" x14ac:dyDescent="0.3">
      <c r="A736" t="s">
        <v>393</v>
      </c>
      <c r="B736">
        <v>100879</v>
      </c>
      <c r="C736" t="s">
        <v>192</v>
      </c>
      <c r="D736" t="s">
        <v>192</v>
      </c>
    </row>
    <row r="737" spans="1:4" x14ac:dyDescent="0.3">
      <c r="A737" t="s">
        <v>393</v>
      </c>
      <c r="B737">
        <v>100067</v>
      </c>
      <c r="C737" t="s">
        <v>119</v>
      </c>
      <c r="D737" t="s">
        <v>119</v>
      </c>
    </row>
    <row r="738" spans="1:4" x14ac:dyDescent="0.3">
      <c r="A738" t="s">
        <v>393</v>
      </c>
      <c r="B738">
        <v>100879</v>
      </c>
      <c r="C738" t="s">
        <v>119</v>
      </c>
      <c r="D738" t="s">
        <v>119</v>
      </c>
    </row>
    <row r="739" spans="1:4" x14ac:dyDescent="0.3">
      <c r="A739" t="s">
        <v>393</v>
      </c>
      <c r="B739">
        <v>100067</v>
      </c>
      <c r="C739" t="s">
        <v>124</v>
      </c>
      <c r="D739" t="s">
        <v>124</v>
      </c>
    </row>
    <row r="740" spans="1:4" x14ac:dyDescent="0.3">
      <c r="A740" t="s">
        <v>393</v>
      </c>
      <c r="B740">
        <v>100879</v>
      </c>
      <c r="C740" t="s">
        <v>124</v>
      </c>
      <c r="D740" t="s">
        <v>124</v>
      </c>
    </row>
    <row r="741" spans="1:4" x14ac:dyDescent="0.3">
      <c r="A741" t="s">
        <v>604</v>
      </c>
      <c r="B741">
        <v>100216</v>
      </c>
      <c r="C741" t="s">
        <v>122</v>
      </c>
      <c r="D741" t="s">
        <v>122</v>
      </c>
    </row>
    <row r="742" spans="1:4" x14ac:dyDescent="0.3">
      <c r="A742" t="s">
        <v>604</v>
      </c>
      <c r="B742">
        <v>100216</v>
      </c>
      <c r="C742" t="s">
        <v>124</v>
      </c>
      <c r="D742" t="s">
        <v>124</v>
      </c>
    </row>
    <row r="743" spans="1:4" x14ac:dyDescent="0.3">
      <c r="A743" t="s">
        <v>604</v>
      </c>
      <c r="B743">
        <v>100216</v>
      </c>
      <c r="C743" t="s">
        <v>119</v>
      </c>
      <c r="D743" t="s">
        <v>119</v>
      </c>
    </row>
    <row r="744" spans="1:4" x14ac:dyDescent="0.3">
      <c r="A744" t="s">
        <v>604</v>
      </c>
      <c r="B744">
        <v>100216</v>
      </c>
      <c r="C744" t="s">
        <v>592</v>
      </c>
      <c r="D744" t="s">
        <v>592</v>
      </c>
    </row>
    <row r="745" spans="1:4" x14ac:dyDescent="0.3">
      <c r="A745" t="s">
        <v>605</v>
      </c>
      <c r="B745">
        <v>100070</v>
      </c>
      <c r="C745" t="s">
        <v>178</v>
      </c>
      <c r="D745" t="s">
        <v>178</v>
      </c>
    </row>
    <row r="746" spans="1:4" x14ac:dyDescent="0.3">
      <c r="A746" t="s">
        <v>605</v>
      </c>
      <c r="B746">
        <v>100070</v>
      </c>
      <c r="C746" t="s">
        <v>122</v>
      </c>
      <c r="D746" t="s">
        <v>122</v>
      </c>
    </row>
    <row r="747" spans="1:4" x14ac:dyDescent="0.3">
      <c r="A747" t="s">
        <v>605</v>
      </c>
      <c r="B747">
        <v>100070</v>
      </c>
      <c r="C747" t="s">
        <v>124</v>
      </c>
      <c r="D747" t="s">
        <v>124</v>
      </c>
    </row>
    <row r="748" spans="1:4" x14ac:dyDescent="0.3">
      <c r="A748" t="s">
        <v>605</v>
      </c>
      <c r="B748">
        <v>100070</v>
      </c>
      <c r="C748" t="s">
        <v>119</v>
      </c>
      <c r="D748" t="s">
        <v>119</v>
      </c>
    </row>
    <row r="749" spans="1:4" x14ac:dyDescent="0.3">
      <c r="A749" t="s">
        <v>605</v>
      </c>
      <c r="B749">
        <v>100070</v>
      </c>
      <c r="C749" t="s">
        <v>194</v>
      </c>
      <c r="D749" t="s">
        <v>194</v>
      </c>
    </row>
    <row r="750" spans="1:4" x14ac:dyDescent="0.3">
      <c r="A750" t="s">
        <v>605</v>
      </c>
      <c r="B750">
        <v>100070</v>
      </c>
      <c r="C750" t="s">
        <v>606</v>
      </c>
      <c r="D750" t="s">
        <v>606</v>
      </c>
    </row>
    <row r="751" spans="1:4" x14ac:dyDescent="0.3">
      <c r="A751" t="s">
        <v>605</v>
      </c>
      <c r="B751">
        <v>100070</v>
      </c>
      <c r="C751" t="s">
        <v>592</v>
      </c>
      <c r="D751" t="s">
        <v>592</v>
      </c>
    </row>
    <row r="752" spans="1:4" x14ac:dyDescent="0.3">
      <c r="A752" t="s">
        <v>607</v>
      </c>
      <c r="B752">
        <v>100071</v>
      </c>
      <c r="C752" t="s">
        <v>122</v>
      </c>
      <c r="D752" t="s">
        <v>122</v>
      </c>
    </row>
    <row r="753" spans="1:4" x14ac:dyDescent="0.3">
      <c r="A753" t="s">
        <v>607</v>
      </c>
      <c r="B753">
        <v>100071</v>
      </c>
      <c r="C753" t="s">
        <v>124</v>
      </c>
      <c r="D753" t="s">
        <v>124</v>
      </c>
    </row>
    <row r="754" spans="1:4" x14ac:dyDescent="0.3">
      <c r="A754" t="s">
        <v>607</v>
      </c>
      <c r="B754">
        <v>100071</v>
      </c>
      <c r="C754" t="s">
        <v>119</v>
      </c>
      <c r="D754" t="s">
        <v>119</v>
      </c>
    </row>
    <row r="755" spans="1:4" x14ac:dyDescent="0.3">
      <c r="A755" t="s">
        <v>607</v>
      </c>
      <c r="B755">
        <v>100071</v>
      </c>
      <c r="C755" t="s">
        <v>592</v>
      </c>
      <c r="D755" t="s">
        <v>592</v>
      </c>
    </row>
    <row r="756" spans="1:4" x14ac:dyDescent="0.3">
      <c r="A756" t="s">
        <v>608</v>
      </c>
      <c r="B756">
        <v>100072</v>
      </c>
      <c r="C756" t="s">
        <v>121</v>
      </c>
      <c r="D756" t="s">
        <v>121</v>
      </c>
    </row>
    <row r="757" spans="1:4" x14ac:dyDescent="0.3">
      <c r="A757" t="s">
        <v>608</v>
      </c>
      <c r="B757">
        <v>100072</v>
      </c>
      <c r="C757" t="s">
        <v>120</v>
      </c>
      <c r="D757" t="s">
        <v>120</v>
      </c>
    </row>
    <row r="758" spans="1:4" x14ac:dyDescent="0.3">
      <c r="A758" t="s">
        <v>609</v>
      </c>
      <c r="B758">
        <v>100328</v>
      </c>
      <c r="C758" t="s">
        <v>121</v>
      </c>
      <c r="D758" t="s">
        <v>121</v>
      </c>
    </row>
    <row r="759" spans="1:4" x14ac:dyDescent="0.3">
      <c r="A759" t="s">
        <v>609</v>
      </c>
      <c r="B759">
        <v>100328</v>
      </c>
      <c r="C759" t="s">
        <v>120</v>
      </c>
      <c r="D759" t="s">
        <v>120</v>
      </c>
    </row>
    <row r="760" spans="1:4" x14ac:dyDescent="0.3">
      <c r="A760" t="s">
        <v>610</v>
      </c>
      <c r="B760">
        <v>100892</v>
      </c>
      <c r="C760" t="s">
        <v>121</v>
      </c>
      <c r="D760" t="s">
        <v>121</v>
      </c>
    </row>
    <row r="761" spans="1:4" x14ac:dyDescent="0.3">
      <c r="A761" t="s">
        <v>610</v>
      </c>
      <c r="B761">
        <v>100892</v>
      </c>
      <c r="C761" t="s">
        <v>120</v>
      </c>
      <c r="D761" t="s">
        <v>120</v>
      </c>
    </row>
    <row r="762" spans="1:4" x14ac:dyDescent="0.3">
      <c r="A762" t="s">
        <v>611</v>
      </c>
      <c r="B762">
        <v>100218</v>
      </c>
      <c r="C762" t="s">
        <v>122</v>
      </c>
      <c r="D762" t="s">
        <v>122</v>
      </c>
    </row>
    <row r="763" spans="1:4" x14ac:dyDescent="0.3">
      <c r="A763" t="s">
        <v>611</v>
      </c>
      <c r="B763">
        <v>100218</v>
      </c>
      <c r="C763" t="s">
        <v>124</v>
      </c>
      <c r="D763" t="s">
        <v>124</v>
      </c>
    </row>
    <row r="764" spans="1:4" x14ac:dyDescent="0.3">
      <c r="A764" t="s">
        <v>611</v>
      </c>
      <c r="B764">
        <v>100218</v>
      </c>
      <c r="C764" t="s">
        <v>119</v>
      </c>
      <c r="D764" t="s">
        <v>119</v>
      </c>
    </row>
    <row r="765" spans="1:4" x14ac:dyDescent="0.3">
      <c r="A765" t="s">
        <v>611</v>
      </c>
      <c r="B765">
        <v>100218</v>
      </c>
      <c r="C765" t="s">
        <v>592</v>
      </c>
      <c r="D765" t="s">
        <v>592</v>
      </c>
    </row>
    <row r="766" spans="1:4" x14ac:dyDescent="0.3">
      <c r="A766" t="s">
        <v>612</v>
      </c>
      <c r="B766">
        <v>100219</v>
      </c>
      <c r="C766" t="s">
        <v>122</v>
      </c>
      <c r="D766" t="s">
        <v>122</v>
      </c>
    </row>
    <row r="767" spans="1:4" x14ac:dyDescent="0.3">
      <c r="A767" t="s">
        <v>612</v>
      </c>
      <c r="B767">
        <v>100219</v>
      </c>
      <c r="C767" t="s">
        <v>124</v>
      </c>
      <c r="D767" t="s">
        <v>124</v>
      </c>
    </row>
    <row r="768" spans="1:4" x14ac:dyDescent="0.3">
      <c r="A768" t="s">
        <v>612</v>
      </c>
      <c r="B768">
        <v>100219</v>
      </c>
      <c r="C768" t="s">
        <v>119</v>
      </c>
      <c r="D768" t="s">
        <v>119</v>
      </c>
    </row>
    <row r="769" spans="1:4" x14ac:dyDescent="0.3">
      <c r="A769" t="s">
        <v>612</v>
      </c>
      <c r="B769">
        <v>100219</v>
      </c>
      <c r="C769" t="s">
        <v>592</v>
      </c>
      <c r="D769" t="s">
        <v>592</v>
      </c>
    </row>
    <row r="770" spans="1:4" x14ac:dyDescent="0.3">
      <c r="A770" t="s">
        <v>613</v>
      </c>
      <c r="B770">
        <v>100267</v>
      </c>
      <c r="C770" t="s">
        <v>614</v>
      </c>
      <c r="D770" t="s">
        <v>614</v>
      </c>
    </row>
    <row r="771" spans="1:4" x14ac:dyDescent="0.3">
      <c r="A771" t="s">
        <v>613</v>
      </c>
      <c r="B771">
        <v>100267</v>
      </c>
      <c r="C771" t="s">
        <v>615</v>
      </c>
      <c r="D771" t="s">
        <v>615</v>
      </c>
    </row>
    <row r="772" spans="1:4" x14ac:dyDescent="0.3">
      <c r="A772" t="s">
        <v>613</v>
      </c>
      <c r="B772">
        <v>100267</v>
      </c>
      <c r="C772" t="s">
        <v>616</v>
      </c>
      <c r="D772" t="s">
        <v>616</v>
      </c>
    </row>
    <row r="773" spans="1:4" x14ac:dyDescent="0.3">
      <c r="A773" t="s">
        <v>613</v>
      </c>
      <c r="B773">
        <v>100267</v>
      </c>
      <c r="C773" t="s">
        <v>617</v>
      </c>
      <c r="D773" t="s">
        <v>617</v>
      </c>
    </row>
    <row r="774" spans="1:4" x14ac:dyDescent="0.3">
      <c r="A774" t="s">
        <v>618</v>
      </c>
      <c r="B774">
        <v>100073</v>
      </c>
      <c r="C774" t="s">
        <v>619</v>
      </c>
      <c r="D774" t="s">
        <v>619</v>
      </c>
    </row>
    <row r="775" spans="1:4" x14ac:dyDescent="0.3">
      <c r="A775" t="s">
        <v>618</v>
      </c>
      <c r="B775">
        <v>100073</v>
      </c>
      <c r="C775" t="s">
        <v>620</v>
      </c>
      <c r="D775" t="s">
        <v>620</v>
      </c>
    </row>
    <row r="776" spans="1:4" x14ac:dyDescent="0.3">
      <c r="A776" t="s">
        <v>618</v>
      </c>
      <c r="B776">
        <v>100073</v>
      </c>
      <c r="C776" t="s">
        <v>118</v>
      </c>
      <c r="D776" t="s">
        <v>118</v>
      </c>
    </row>
    <row r="777" spans="1:4" x14ac:dyDescent="0.3">
      <c r="A777" t="s">
        <v>618</v>
      </c>
      <c r="B777">
        <v>100073</v>
      </c>
      <c r="C777" t="s">
        <v>621</v>
      </c>
      <c r="D777" t="s">
        <v>621</v>
      </c>
    </row>
    <row r="778" spans="1:4" x14ac:dyDescent="0.3">
      <c r="A778" t="s">
        <v>618</v>
      </c>
      <c r="B778">
        <v>100073</v>
      </c>
      <c r="C778" t="s">
        <v>622</v>
      </c>
      <c r="D778" t="s">
        <v>622</v>
      </c>
    </row>
    <row r="779" spans="1:4" x14ac:dyDescent="0.3">
      <c r="A779" t="s">
        <v>618</v>
      </c>
      <c r="B779">
        <v>100073</v>
      </c>
      <c r="C779" t="s">
        <v>592</v>
      </c>
      <c r="D779" t="s">
        <v>592</v>
      </c>
    </row>
    <row r="780" spans="1:4" x14ac:dyDescent="0.3">
      <c r="A780" t="s">
        <v>623</v>
      </c>
      <c r="B780">
        <v>100074</v>
      </c>
      <c r="C780" t="s">
        <v>624</v>
      </c>
      <c r="D780" t="s">
        <v>624</v>
      </c>
    </row>
    <row r="781" spans="1:4" x14ac:dyDescent="0.3">
      <c r="A781" t="s">
        <v>623</v>
      </c>
      <c r="B781">
        <v>100074</v>
      </c>
      <c r="C781" t="s">
        <v>625</v>
      </c>
      <c r="D781" t="s">
        <v>625</v>
      </c>
    </row>
    <row r="782" spans="1:4" x14ac:dyDescent="0.3">
      <c r="A782" t="s">
        <v>623</v>
      </c>
      <c r="B782">
        <v>100074</v>
      </c>
      <c r="C782" t="s">
        <v>626</v>
      </c>
      <c r="D782" t="s">
        <v>626</v>
      </c>
    </row>
    <row r="783" spans="1:4" x14ac:dyDescent="0.3">
      <c r="A783" t="s">
        <v>623</v>
      </c>
      <c r="B783">
        <v>100074</v>
      </c>
      <c r="C783" t="s">
        <v>627</v>
      </c>
      <c r="D783" t="s">
        <v>627</v>
      </c>
    </row>
    <row r="784" spans="1:4" x14ac:dyDescent="0.3">
      <c r="A784" t="s">
        <v>623</v>
      </c>
      <c r="B784">
        <v>100074</v>
      </c>
      <c r="C784" t="s">
        <v>628</v>
      </c>
      <c r="D784" t="s">
        <v>628</v>
      </c>
    </row>
    <row r="785" spans="1:4" x14ac:dyDescent="0.3">
      <c r="A785" t="s">
        <v>623</v>
      </c>
      <c r="B785">
        <v>100074</v>
      </c>
      <c r="C785" t="s">
        <v>629</v>
      </c>
      <c r="D785" t="s">
        <v>629</v>
      </c>
    </row>
    <row r="786" spans="1:4" x14ac:dyDescent="0.3">
      <c r="A786" t="s">
        <v>623</v>
      </c>
      <c r="B786">
        <v>100074</v>
      </c>
      <c r="C786" t="s">
        <v>630</v>
      </c>
      <c r="D786" t="s">
        <v>630</v>
      </c>
    </row>
    <row r="787" spans="1:4" x14ac:dyDescent="0.3">
      <c r="A787" t="s">
        <v>623</v>
      </c>
      <c r="B787">
        <v>100074</v>
      </c>
      <c r="C787" t="s">
        <v>152</v>
      </c>
      <c r="D787" t="s">
        <v>152</v>
      </c>
    </row>
    <row r="788" spans="1:4" x14ac:dyDescent="0.3">
      <c r="A788" t="s">
        <v>631</v>
      </c>
      <c r="B788">
        <v>100200</v>
      </c>
      <c r="C788" t="s">
        <v>122</v>
      </c>
      <c r="D788" t="s">
        <v>122</v>
      </c>
    </row>
    <row r="789" spans="1:4" x14ac:dyDescent="0.3">
      <c r="A789" t="s">
        <v>631</v>
      </c>
      <c r="B789">
        <v>100200</v>
      </c>
      <c r="C789" t="s">
        <v>124</v>
      </c>
      <c r="D789" t="s">
        <v>124</v>
      </c>
    </row>
    <row r="790" spans="1:4" x14ac:dyDescent="0.3">
      <c r="A790" t="s">
        <v>631</v>
      </c>
      <c r="B790">
        <v>100200</v>
      </c>
      <c r="C790" t="s">
        <v>119</v>
      </c>
      <c r="D790" t="s">
        <v>119</v>
      </c>
    </row>
    <row r="791" spans="1:4" x14ac:dyDescent="0.3">
      <c r="A791" t="s">
        <v>631</v>
      </c>
      <c r="B791">
        <v>100200</v>
      </c>
      <c r="C791" t="s">
        <v>194</v>
      </c>
      <c r="D791" t="s">
        <v>194</v>
      </c>
    </row>
    <row r="792" spans="1:4" x14ac:dyDescent="0.3">
      <c r="A792" t="s">
        <v>631</v>
      </c>
      <c r="B792">
        <v>100200</v>
      </c>
      <c r="C792" t="s">
        <v>592</v>
      </c>
      <c r="D792" t="s">
        <v>592</v>
      </c>
    </row>
    <row r="793" spans="1:4" x14ac:dyDescent="0.3">
      <c r="A793" t="s">
        <v>632</v>
      </c>
      <c r="B793">
        <v>100202</v>
      </c>
      <c r="C793" t="s">
        <v>122</v>
      </c>
      <c r="D793" t="s">
        <v>122</v>
      </c>
    </row>
    <row r="794" spans="1:4" x14ac:dyDescent="0.3">
      <c r="A794" t="s">
        <v>632</v>
      </c>
      <c r="B794">
        <v>100202</v>
      </c>
      <c r="C794" t="s">
        <v>124</v>
      </c>
      <c r="D794" t="s">
        <v>124</v>
      </c>
    </row>
    <row r="795" spans="1:4" x14ac:dyDescent="0.3">
      <c r="A795" t="s">
        <v>632</v>
      </c>
      <c r="B795">
        <v>100202</v>
      </c>
      <c r="C795" t="s">
        <v>119</v>
      </c>
      <c r="D795" t="s">
        <v>119</v>
      </c>
    </row>
    <row r="796" spans="1:4" x14ac:dyDescent="0.3">
      <c r="A796" t="s">
        <v>632</v>
      </c>
      <c r="B796">
        <v>100202</v>
      </c>
      <c r="C796" t="s">
        <v>194</v>
      </c>
      <c r="D796" t="s">
        <v>194</v>
      </c>
    </row>
    <row r="797" spans="1:4" x14ac:dyDescent="0.3">
      <c r="A797" t="s">
        <v>632</v>
      </c>
      <c r="B797">
        <v>100202</v>
      </c>
      <c r="C797" t="s">
        <v>592</v>
      </c>
      <c r="D797" t="s">
        <v>592</v>
      </c>
    </row>
    <row r="798" spans="1:4" x14ac:dyDescent="0.3">
      <c r="A798" t="s">
        <v>633</v>
      </c>
      <c r="B798">
        <v>100203</v>
      </c>
      <c r="C798" t="s">
        <v>122</v>
      </c>
      <c r="D798" t="s">
        <v>122</v>
      </c>
    </row>
    <row r="799" spans="1:4" x14ac:dyDescent="0.3">
      <c r="A799" t="s">
        <v>633</v>
      </c>
      <c r="B799">
        <v>100203</v>
      </c>
      <c r="C799" t="s">
        <v>124</v>
      </c>
      <c r="D799" t="s">
        <v>124</v>
      </c>
    </row>
    <row r="800" spans="1:4" x14ac:dyDescent="0.3">
      <c r="A800" t="s">
        <v>633</v>
      </c>
      <c r="B800">
        <v>100203</v>
      </c>
      <c r="C800" t="s">
        <v>119</v>
      </c>
      <c r="D800" t="s">
        <v>119</v>
      </c>
    </row>
    <row r="801" spans="1:4" x14ac:dyDescent="0.3">
      <c r="A801" t="s">
        <v>633</v>
      </c>
      <c r="B801">
        <v>100203</v>
      </c>
      <c r="C801" t="s">
        <v>194</v>
      </c>
      <c r="D801" t="s">
        <v>194</v>
      </c>
    </row>
    <row r="802" spans="1:4" x14ac:dyDescent="0.3">
      <c r="A802" t="s">
        <v>633</v>
      </c>
      <c r="B802">
        <v>100203</v>
      </c>
      <c r="C802" t="s">
        <v>592</v>
      </c>
      <c r="D802" t="s">
        <v>592</v>
      </c>
    </row>
    <row r="803" spans="1:4" x14ac:dyDescent="0.3">
      <c r="A803" t="s">
        <v>634</v>
      </c>
      <c r="B803">
        <v>100080</v>
      </c>
      <c r="C803" t="s">
        <v>121</v>
      </c>
      <c r="D803" t="s">
        <v>121</v>
      </c>
    </row>
    <row r="804" spans="1:4" x14ac:dyDescent="0.3">
      <c r="A804" t="s">
        <v>634</v>
      </c>
      <c r="B804">
        <v>100080</v>
      </c>
      <c r="C804" t="s">
        <v>120</v>
      </c>
      <c r="D804" t="s">
        <v>120</v>
      </c>
    </row>
    <row r="805" spans="1:4" x14ac:dyDescent="0.3">
      <c r="A805" t="s">
        <v>634</v>
      </c>
      <c r="B805">
        <v>100080</v>
      </c>
      <c r="C805" t="s">
        <v>592</v>
      </c>
      <c r="D805" t="s">
        <v>592</v>
      </c>
    </row>
    <row r="806" spans="1:4" x14ac:dyDescent="0.3">
      <c r="A806" t="s">
        <v>635</v>
      </c>
      <c r="B806">
        <v>100081</v>
      </c>
      <c r="C806" t="s">
        <v>121</v>
      </c>
      <c r="D806" t="s">
        <v>121</v>
      </c>
    </row>
    <row r="807" spans="1:4" x14ac:dyDescent="0.3">
      <c r="A807" t="s">
        <v>635</v>
      </c>
      <c r="B807">
        <v>100081</v>
      </c>
      <c r="C807" t="s">
        <v>120</v>
      </c>
      <c r="D807" t="s">
        <v>120</v>
      </c>
    </row>
    <row r="808" spans="1:4" x14ac:dyDescent="0.3">
      <c r="A808" t="s">
        <v>635</v>
      </c>
      <c r="B808">
        <v>100081</v>
      </c>
      <c r="C808" t="s">
        <v>592</v>
      </c>
      <c r="D808" t="s">
        <v>592</v>
      </c>
    </row>
    <row r="809" spans="1:4" x14ac:dyDescent="0.3">
      <c r="A809" t="s">
        <v>92</v>
      </c>
      <c r="B809">
        <v>100082</v>
      </c>
      <c r="C809" t="s">
        <v>121</v>
      </c>
      <c r="D809" t="s">
        <v>121</v>
      </c>
    </row>
    <row r="810" spans="1:4" x14ac:dyDescent="0.3">
      <c r="A810" t="s">
        <v>92</v>
      </c>
      <c r="B810">
        <v>100082</v>
      </c>
      <c r="C810" t="s">
        <v>120</v>
      </c>
      <c r="D810" t="s">
        <v>120</v>
      </c>
    </row>
    <row r="811" spans="1:4" x14ac:dyDescent="0.3">
      <c r="A811" t="s">
        <v>636</v>
      </c>
      <c r="B811">
        <v>100329</v>
      </c>
      <c r="C811" t="s">
        <v>121</v>
      </c>
      <c r="D811" t="s">
        <v>121</v>
      </c>
    </row>
    <row r="812" spans="1:4" x14ac:dyDescent="0.3">
      <c r="A812" t="s">
        <v>636</v>
      </c>
      <c r="B812">
        <v>100329</v>
      </c>
      <c r="C812" t="s">
        <v>120</v>
      </c>
      <c r="D812" t="s">
        <v>120</v>
      </c>
    </row>
    <row r="813" spans="1:4" x14ac:dyDescent="0.3">
      <c r="A813" t="s">
        <v>637</v>
      </c>
      <c r="B813">
        <v>100085</v>
      </c>
      <c r="C813" t="s">
        <v>121</v>
      </c>
      <c r="D813" t="s">
        <v>121</v>
      </c>
    </row>
    <row r="814" spans="1:4" x14ac:dyDescent="0.3">
      <c r="A814" t="s">
        <v>637</v>
      </c>
      <c r="B814">
        <v>100085</v>
      </c>
      <c r="C814" t="s">
        <v>120</v>
      </c>
      <c r="D814" t="s">
        <v>120</v>
      </c>
    </row>
    <row r="815" spans="1:4" x14ac:dyDescent="0.3">
      <c r="A815" t="s">
        <v>637</v>
      </c>
      <c r="B815">
        <v>100085</v>
      </c>
      <c r="C815" t="s">
        <v>638</v>
      </c>
      <c r="D815" t="s">
        <v>638</v>
      </c>
    </row>
    <row r="816" spans="1:4" x14ac:dyDescent="0.3">
      <c r="A816" t="s">
        <v>639</v>
      </c>
      <c r="B816">
        <v>100222</v>
      </c>
      <c r="C816" t="s">
        <v>640</v>
      </c>
      <c r="D816" t="s">
        <v>640</v>
      </c>
    </row>
    <row r="817" spans="1:4" x14ac:dyDescent="0.3">
      <c r="A817" t="s">
        <v>641</v>
      </c>
      <c r="B817">
        <v>100754</v>
      </c>
      <c r="C817" t="s">
        <v>640</v>
      </c>
      <c r="D817" t="s">
        <v>640</v>
      </c>
    </row>
    <row r="818" spans="1:4" x14ac:dyDescent="0.3">
      <c r="A818" t="s">
        <v>639</v>
      </c>
      <c r="B818">
        <v>100222</v>
      </c>
      <c r="C818" t="s">
        <v>642</v>
      </c>
      <c r="D818" t="s">
        <v>642</v>
      </c>
    </row>
    <row r="819" spans="1:4" x14ac:dyDescent="0.3">
      <c r="A819" t="s">
        <v>641</v>
      </c>
      <c r="B819">
        <v>100754</v>
      </c>
      <c r="C819" t="s">
        <v>642</v>
      </c>
      <c r="D819" t="s">
        <v>642</v>
      </c>
    </row>
    <row r="820" spans="1:4" x14ac:dyDescent="0.3">
      <c r="A820" t="s">
        <v>643</v>
      </c>
      <c r="B820">
        <v>100088</v>
      </c>
      <c r="C820" t="s">
        <v>122</v>
      </c>
      <c r="D820" t="s">
        <v>122</v>
      </c>
    </row>
    <row r="821" spans="1:4" x14ac:dyDescent="0.3">
      <c r="A821" t="s">
        <v>643</v>
      </c>
      <c r="B821">
        <v>100088</v>
      </c>
      <c r="C821" t="s">
        <v>124</v>
      </c>
      <c r="D821" t="s">
        <v>124</v>
      </c>
    </row>
    <row r="822" spans="1:4" x14ac:dyDescent="0.3">
      <c r="A822" t="s">
        <v>643</v>
      </c>
      <c r="B822">
        <v>100088</v>
      </c>
      <c r="C822" t="s">
        <v>119</v>
      </c>
      <c r="D822" t="s">
        <v>119</v>
      </c>
    </row>
    <row r="823" spans="1:4" x14ac:dyDescent="0.3">
      <c r="A823" t="s">
        <v>643</v>
      </c>
      <c r="B823">
        <v>100088</v>
      </c>
      <c r="C823" t="s">
        <v>206</v>
      </c>
      <c r="D823" t="s">
        <v>206</v>
      </c>
    </row>
    <row r="824" spans="1:4" x14ac:dyDescent="0.3">
      <c r="A824" t="s">
        <v>643</v>
      </c>
      <c r="B824">
        <v>100088</v>
      </c>
      <c r="C824" t="s">
        <v>204</v>
      </c>
      <c r="D824" t="s">
        <v>204</v>
      </c>
    </row>
    <row r="825" spans="1:4" x14ac:dyDescent="0.3">
      <c r="A825" t="s">
        <v>643</v>
      </c>
      <c r="B825">
        <v>100088</v>
      </c>
      <c r="C825" t="s">
        <v>205</v>
      </c>
      <c r="D825" t="s">
        <v>205</v>
      </c>
    </row>
    <row r="826" spans="1:4" x14ac:dyDescent="0.3">
      <c r="A826" t="s">
        <v>643</v>
      </c>
      <c r="B826">
        <v>100088</v>
      </c>
      <c r="C826" t="s">
        <v>644</v>
      </c>
      <c r="D826" t="s">
        <v>644</v>
      </c>
    </row>
    <row r="827" spans="1:4" x14ac:dyDescent="0.3">
      <c r="A827" t="s">
        <v>645</v>
      </c>
      <c r="B827">
        <v>100825</v>
      </c>
      <c r="C827" t="s">
        <v>222</v>
      </c>
      <c r="D827" t="s">
        <v>222</v>
      </c>
    </row>
    <row r="828" spans="1:4" x14ac:dyDescent="0.3">
      <c r="A828" t="s">
        <v>645</v>
      </c>
      <c r="B828">
        <v>100825</v>
      </c>
      <c r="C828" t="s">
        <v>224</v>
      </c>
      <c r="D828" t="s">
        <v>224</v>
      </c>
    </row>
    <row r="829" spans="1:4" x14ac:dyDescent="0.3">
      <c r="A829" t="s">
        <v>646</v>
      </c>
      <c r="B829">
        <v>100826</v>
      </c>
      <c r="C829" t="s">
        <v>121</v>
      </c>
      <c r="D829" t="s">
        <v>121</v>
      </c>
    </row>
    <row r="830" spans="1:4" x14ac:dyDescent="0.3">
      <c r="A830" t="s">
        <v>646</v>
      </c>
      <c r="B830">
        <v>100826</v>
      </c>
      <c r="C830" t="s">
        <v>120</v>
      </c>
      <c r="D830" t="s">
        <v>120</v>
      </c>
    </row>
    <row r="831" spans="1:4" x14ac:dyDescent="0.3">
      <c r="A831" t="s">
        <v>646</v>
      </c>
      <c r="B831">
        <v>100826</v>
      </c>
      <c r="C831" t="s">
        <v>137</v>
      </c>
      <c r="D831" t="s">
        <v>137</v>
      </c>
    </row>
    <row r="832" spans="1:4" x14ac:dyDescent="0.3">
      <c r="A832" t="s">
        <v>647</v>
      </c>
      <c r="B832">
        <v>100331</v>
      </c>
      <c r="C832" t="s">
        <v>648</v>
      </c>
      <c r="D832" t="s">
        <v>648</v>
      </c>
    </row>
    <row r="833" spans="1:4" x14ac:dyDescent="0.3">
      <c r="A833" t="s">
        <v>647</v>
      </c>
      <c r="B833">
        <v>100331</v>
      </c>
      <c r="C833" t="s">
        <v>136</v>
      </c>
      <c r="D833" t="s">
        <v>136</v>
      </c>
    </row>
    <row r="834" spans="1:4" x14ac:dyDescent="0.3">
      <c r="A834" t="s">
        <v>647</v>
      </c>
      <c r="B834">
        <v>100331</v>
      </c>
      <c r="C834" t="s">
        <v>649</v>
      </c>
      <c r="D834" t="s">
        <v>649</v>
      </c>
    </row>
    <row r="835" spans="1:4" x14ac:dyDescent="0.3">
      <c r="A835" t="s">
        <v>647</v>
      </c>
      <c r="B835">
        <v>100331</v>
      </c>
      <c r="C835" t="s">
        <v>650</v>
      </c>
      <c r="D835" t="s">
        <v>650</v>
      </c>
    </row>
    <row r="836" spans="1:4" x14ac:dyDescent="0.3">
      <c r="A836" t="s">
        <v>647</v>
      </c>
      <c r="B836">
        <v>100331</v>
      </c>
      <c r="C836" t="s">
        <v>152</v>
      </c>
      <c r="D836" t="s">
        <v>152</v>
      </c>
    </row>
    <row r="837" spans="1:4" x14ac:dyDescent="0.3">
      <c r="A837" t="s">
        <v>647</v>
      </c>
      <c r="B837">
        <v>100331</v>
      </c>
      <c r="C837" t="s">
        <v>224</v>
      </c>
      <c r="D837" t="s">
        <v>224</v>
      </c>
    </row>
    <row r="838" spans="1:4" x14ac:dyDescent="0.3">
      <c r="A838" t="s">
        <v>647</v>
      </c>
      <c r="B838">
        <v>100331</v>
      </c>
      <c r="C838" t="s">
        <v>651</v>
      </c>
      <c r="D838" t="s">
        <v>651</v>
      </c>
    </row>
    <row r="839" spans="1:4" x14ac:dyDescent="0.3">
      <c r="A839" t="s">
        <v>652</v>
      </c>
      <c r="B839">
        <v>100332</v>
      </c>
      <c r="C839" t="s">
        <v>653</v>
      </c>
      <c r="D839" t="s">
        <v>653</v>
      </c>
    </row>
    <row r="840" spans="1:4" x14ac:dyDescent="0.3">
      <c r="A840" t="s">
        <v>652</v>
      </c>
      <c r="B840">
        <v>100332</v>
      </c>
      <c r="C840" t="s">
        <v>654</v>
      </c>
      <c r="D840" t="s">
        <v>654</v>
      </c>
    </row>
    <row r="841" spans="1:4" x14ac:dyDescent="0.3">
      <c r="A841" t="s">
        <v>652</v>
      </c>
      <c r="B841">
        <v>100332</v>
      </c>
      <c r="C841" t="s">
        <v>655</v>
      </c>
      <c r="D841" t="s">
        <v>655</v>
      </c>
    </row>
    <row r="842" spans="1:4" x14ac:dyDescent="0.3">
      <c r="A842" t="s">
        <v>652</v>
      </c>
      <c r="B842">
        <v>100332</v>
      </c>
      <c r="C842" t="s">
        <v>656</v>
      </c>
      <c r="D842" t="s">
        <v>656</v>
      </c>
    </row>
    <row r="843" spans="1:4" x14ac:dyDescent="0.3">
      <c r="A843" t="s">
        <v>652</v>
      </c>
      <c r="B843">
        <v>100332</v>
      </c>
      <c r="C843" t="s">
        <v>224</v>
      </c>
      <c r="D843" t="s">
        <v>224</v>
      </c>
    </row>
    <row r="844" spans="1:4" x14ac:dyDescent="0.3">
      <c r="A844" t="s">
        <v>652</v>
      </c>
      <c r="B844">
        <v>100332</v>
      </c>
      <c r="C844" t="s">
        <v>657</v>
      </c>
      <c r="D844" t="s">
        <v>657</v>
      </c>
    </row>
    <row r="845" spans="1:4" x14ac:dyDescent="0.3">
      <c r="A845" t="s">
        <v>658</v>
      </c>
      <c r="B845">
        <v>100333</v>
      </c>
      <c r="C845" t="s">
        <v>659</v>
      </c>
      <c r="D845" t="s">
        <v>659</v>
      </c>
    </row>
    <row r="846" spans="1:4" x14ac:dyDescent="0.3">
      <c r="A846" t="s">
        <v>658</v>
      </c>
      <c r="B846">
        <v>100333</v>
      </c>
      <c r="C846" t="s">
        <v>660</v>
      </c>
      <c r="D846" t="s">
        <v>660</v>
      </c>
    </row>
    <row r="847" spans="1:4" x14ac:dyDescent="0.3">
      <c r="A847" t="s">
        <v>658</v>
      </c>
      <c r="B847">
        <v>100333</v>
      </c>
      <c r="C847" t="s">
        <v>661</v>
      </c>
      <c r="D847" t="s">
        <v>661</v>
      </c>
    </row>
    <row r="848" spans="1:4" x14ac:dyDescent="0.3">
      <c r="A848" t="s">
        <v>658</v>
      </c>
      <c r="B848">
        <v>100333</v>
      </c>
      <c r="C848" t="s">
        <v>224</v>
      </c>
      <c r="D848" t="s">
        <v>224</v>
      </c>
    </row>
    <row r="849" spans="1:4" x14ac:dyDescent="0.3">
      <c r="A849" t="s">
        <v>658</v>
      </c>
      <c r="B849">
        <v>100333</v>
      </c>
      <c r="C849" t="s">
        <v>662</v>
      </c>
      <c r="D849" t="s">
        <v>662</v>
      </c>
    </row>
    <row r="850" spans="1:4" x14ac:dyDescent="0.3">
      <c r="A850" t="s">
        <v>663</v>
      </c>
      <c r="B850">
        <v>100827</v>
      </c>
      <c r="C850" t="s">
        <v>664</v>
      </c>
      <c r="D850" t="s">
        <v>664</v>
      </c>
    </row>
    <row r="851" spans="1:4" x14ac:dyDescent="0.3">
      <c r="A851" t="s">
        <v>663</v>
      </c>
      <c r="B851">
        <v>100827</v>
      </c>
      <c r="C851" t="s">
        <v>665</v>
      </c>
      <c r="D851" t="s">
        <v>665</v>
      </c>
    </row>
    <row r="852" spans="1:4" x14ac:dyDescent="0.3">
      <c r="A852" t="s">
        <v>663</v>
      </c>
      <c r="B852">
        <v>100827</v>
      </c>
      <c r="C852" t="s">
        <v>666</v>
      </c>
      <c r="D852" t="s">
        <v>666</v>
      </c>
    </row>
    <row r="853" spans="1:4" x14ac:dyDescent="0.3">
      <c r="A853" t="s">
        <v>663</v>
      </c>
      <c r="B853">
        <v>100827</v>
      </c>
      <c r="C853" t="s">
        <v>667</v>
      </c>
      <c r="D853" t="s">
        <v>667</v>
      </c>
    </row>
    <row r="854" spans="1:4" x14ac:dyDescent="0.3">
      <c r="A854" t="s">
        <v>663</v>
      </c>
      <c r="B854">
        <v>100827</v>
      </c>
      <c r="C854" t="s">
        <v>668</v>
      </c>
      <c r="D854" t="s">
        <v>668</v>
      </c>
    </row>
    <row r="855" spans="1:4" x14ac:dyDescent="0.3">
      <c r="A855" t="s">
        <v>663</v>
      </c>
      <c r="B855">
        <v>100827</v>
      </c>
      <c r="C855" t="s">
        <v>172</v>
      </c>
      <c r="D855" t="s">
        <v>172</v>
      </c>
    </row>
    <row r="856" spans="1:4" x14ac:dyDescent="0.3">
      <c r="A856" t="s">
        <v>663</v>
      </c>
      <c r="B856">
        <v>100827</v>
      </c>
      <c r="C856" t="s">
        <v>669</v>
      </c>
      <c r="D856" t="s">
        <v>669</v>
      </c>
    </row>
    <row r="857" spans="1:4" x14ac:dyDescent="0.3">
      <c r="A857" t="s">
        <v>663</v>
      </c>
      <c r="B857">
        <v>100827</v>
      </c>
      <c r="C857" t="s">
        <v>166</v>
      </c>
      <c r="D857" t="s">
        <v>166</v>
      </c>
    </row>
    <row r="858" spans="1:4" x14ac:dyDescent="0.3">
      <c r="A858" t="s">
        <v>663</v>
      </c>
      <c r="B858">
        <v>100827</v>
      </c>
      <c r="C858" t="s">
        <v>383</v>
      </c>
      <c r="D858" t="s">
        <v>383</v>
      </c>
    </row>
    <row r="859" spans="1:4" x14ac:dyDescent="0.3">
      <c r="A859" t="s">
        <v>663</v>
      </c>
      <c r="B859">
        <v>100827</v>
      </c>
      <c r="C859" t="s">
        <v>152</v>
      </c>
      <c r="D859" t="s">
        <v>152</v>
      </c>
    </row>
    <row r="860" spans="1:4" x14ac:dyDescent="0.3">
      <c r="A860" t="s">
        <v>670</v>
      </c>
      <c r="B860">
        <v>100334</v>
      </c>
      <c r="C860" t="s">
        <v>671</v>
      </c>
      <c r="D860" t="s">
        <v>671</v>
      </c>
    </row>
    <row r="861" spans="1:4" x14ac:dyDescent="0.3">
      <c r="A861" t="s">
        <v>670</v>
      </c>
      <c r="B861">
        <v>100334</v>
      </c>
      <c r="C861" t="s">
        <v>672</v>
      </c>
      <c r="D861" t="s">
        <v>672</v>
      </c>
    </row>
    <row r="862" spans="1:4" x14ac:dyDescent="0.3">
      <c r="A862" t="s">
        <v>670</v>
      </c>
      <c r="B862">
        <v>100334</v>
      </c>
      <c r="C862" t="s">
        <v>156</v>
      </c>
      <c r="D862" t="s">
        <v>156</v>
      </c>
    </row>
    <row r="863" spans="1:4" x14ac:dyDescent="0.3">
      <c r="A863" t="s">
        <v>670</v>
      </c>
      <c r="B863">
        <v>100334</v>
      </c>
      <c r="C863" t="s">
        <v>123</v>
      </c>
      <c r="D863" t="s">
        <v>123</v>
      </c>
    </row>
    <row r="864" spans="1:4" x14ac:dyDescent="0.3">
      <c r="A864" t="s">
        <v>673</v>
      </c>
      <c r="B864">
        <v>100337</v>
      </c>
      <c r="C864" t="s">
        <v>122</v>
      </c>
      <c r="D864" t="s">
        <v>122</v>
      </c>
    </row>
    <row r="865" spans="1:4" x14ac:dyDescent="0.3">
      <c r="A865" t="s">
        <v>673</v>
      </c>
      <c r="B865">
        <v>100337</v>
      </c>
      <c r="C865" t="s">
        <v>124</v>
      </c>
      <c r="D865" t="s">
        <v>124</v>
      </c>
    </row>
    <row r="866" spans="1:4" x14ac:dyDescent="0.3">
      <c r="A866" t="s">
        <v>673</v>
      </c>
      <c r="B866">
        <v>100337</v>
      </c>
      <c r="C866" t="s">
        <v>119</v>
      </c>
      <c r="D866" t="s">
        <v>119</v>
      </c>
    </row>
    <row r="867" spans="1:4" x14ac:dyDescent="0.3">
      <c r="A867" t="s">
        <v>674</v>
      </c>
      <c r="B867">
        <v>100116</v>
      </c>
      <c r="C867" t="s">
        <v>122</v>
      </c>
      <c r="D867" t="s">
        <v>122</v>
      </c>
    </row>
    <row r="868" spans="1:4" x14ac:dyDescent="0.3">
      <c r="A868" t="s">
        <v>674</v>
      </c>
      <c r="B868">
        <v>100116</v>
      </c>
      <c r="C868" t="s">
        <v>124</v>
      </c>
      <c r="D868" t="s">
        <v>124</v>
      </c>
    </row>
    <row r="869" spans="1:4" x14ac:dyDescent="0.3">
      <c r="A869" t="s">
        <v>674</v>
      </c>
      <c r="B869">
        <v>100116</v>
      </c>
      <c r="C869" t="s">
        <v>119</v>
      </c>
      <c r="D869" t="s">
        <v>119</v>
      </c>
    </row>
    <row r="870" spans="1:4" x14ac:dyDescent="0.3">
      <c r="A870" t="s">
        <v>674</v>
      </c>
      <c r="B870">
        <v>100116</v>
      </c>
      <c r="C870" t="s">
        <v>675</v>
      </c>
      <c r="D870" t="s">
        <v>675</v>
      </c>
    </row>
    <row r="871" spans="1:4" x14ac:dyDescent="0.3">
      <c r="A871" t="s">
        <v>674</v>
      </c>
      <c r="B871">
        <v>100116</v>
      </c>
      <c r="C871" t="s">
        <v>123</v>
      </c>
      <c r="D871" t="s">
        <v>123</v>
      </c>
    </row>
    <row r="872" spans="1:4" x14ac:dyDescent="0.3">
      <c r="A872" t="s">
        <v>676</v>
      </c>
      <c r="B872">
        <v>100117</v>
      </c>
      <c r="C872" t="s">
        <v>122</v>
      </c>
      <c r="D872" t="s">
        <v>122</v>
      </c>
    </row>
    <row r="873" spans="1:4" x14ac:dyDescent="0.3">
      <c r="A873" t="s">
        <v>676</v>
      </c>
      <c r="B873">
        <v>100117</v>
      </c>
      <c r="C873" t="s">
        <v>124</v>
      </c>
      <c r="D873" t="s">
        <v>124</v>
      </c>
    </row>
    <row r="874" spans="1:4" x14ac:dyDescent="0.3">
      <c r="A874" t="s">
        <v>676</v>
      </c>
      <c r="B874">
        <v>100117</v>
      </c>
      <c r="C874" t="s">
        <v>119</v>
      </c>
      <c r="D874" t="s">
        <v>119</v>
      </c>
    </row>
    <row r="875" spans="1:4" x14ac:dyDescent="0.3">
      <c r="A875" t="s">
        <v>676</v>
      </c>
      <c r="B875">
        <v>100117</v>
      </c>
      <c r="C875" t="s">
        <v>123</v>
      </c>
      <c r="D875" t="s">
        <v>123</v>
      </c>
    </row>
    <row r="876" spans="1:4" x14ac:dyDescent="0.3">
      <c r="A876" t="s">
        <v>677</v>
      </c>
      <c r="B876">
        <v>100118</v>
      </c>
      <c r="C876" t="s">
        <v>122</v>
      </c>
      <c r="D876" t="s">
        <v>122</v>
      </c>
    </row>
    <row r="877" spans="1:4" x14ac:dyDescent="0.3">
      <c r="A877" t="s">
        <v>677</v>
      </c>
      <c r="B877">
        <v>100118</v>
      </c>
      <c r="C877" t="s">
        <v>124</v>
      </c>
      <c r="D877" t="s">
        <v>124</v>
      </c>
    </row>
    <row r="878" spans="1:4" x14ac:dyDescent="0.3">
      <c r="A878" t="s">
        <v>677</v>
      </c>
      <c r="B878">
        <v>100118</v>
      </c>
      <c r="C878" t="s">
        <v>119</v>
      </c>
      <c r="D878" t="s">
        <v>119</v>
      </c>
    </row>
    <row r="879" spans="1:4" x14ac:dyDescent="0.3">
      <c r="A879" t="s">
        <v>677</v>
      </c>
      <c r="B879">
        <v>100118</v>
      </c>
      <c r="C879" t="s">
        <v>123</v>
      </c>
      <c r="D879" t="s">
        <v>123</v>
      </c>
    </row>
    <row r="880" spans="1:4" x14ac:dyDescent="0.3">
      <c r="A880" t="s">
        <v>678</v>
      </c>
      <c r="B880">
        <v>100119</v>
      </c>
      <c r="C880" t="s">
        <v>122</v>
      </c>
      <c r="D880" t="s">
        <v>122</v>
      </c>
    </row>
    <row r="881" spans="1:4" x14ac:dyDescent="0.3">
      <c r="A881" t="s">
        <v>678</v>
      </c>
      <c r="B881">
        <v>100119</v>
      </c>
      <c r="C881" t="s">
        <v>124</v>
      </c>
      <c r="D881" t="s">
        <v>124</v>
      </c>
    </row>
    <row r="882" spans="1:4" x14ac:dyDescent="0.3">
      <c r="A882" t="s">
        <v>678</v>
      </c>
      <c r="B882">
        <v>100119</v>
      </c>
      <c r="C882" t="s">
        <v>119</v>
      </c>
      <c r="D882" t="s">
        <v>119</v>
      </c>
    </row>
    <row r="883" spans="1:4" x14ac:dyDescent="0.3">
      <c r="A883" t="s">
        <v>678</v>
      </c>
      <c r="B883">
        <v>100119</v>
      </c>
      <c r="C883" t="s">
        <v>123</v>
      </c>
      <c r="D883" t="s">
        <v>123</v>
      </c>
    </row>
    <row r="884" spans="1:4" x14ac:dyDescent="0.3">
      <c r="A884" t="s">
        <v>679</v>
      </c>
      <c r="B884">
        <v>100120</v>
      </c>
      <c r="C884" t="s">
        <v>178</v>
      </c>
      <c r="D884" t="s">
        <v>178</v>
      </c>
    </row>
    <row r="885" spans="1:4" x14ac:dyDescent="0.3">
      <c r="A885" t="s">
        <v>679</v>
      </c>
      <c r="B885">
        <v>100120</v>
      </c>
      <c r="C885" t="s">
        <v>122</v>
      </c>
      <c r="D885" t="s">
        <v>122</v>
      </c>
    </row>
    <row r="886" spans="1:4" x14ac:dyDescent="0.3">
      <c r="A886" t="s">
        <v>679</v>
      </c>
      <c r="B886">
        <v>100120</v>
      </c>
      <c r="C886" t="s">
        <v>124</v>
      </c>
      <c r="D886" t="s">
        <v>124</v>
      </c>
    </row>
    <row r="887" spans="1:4" x14ac:dyDescent="0.3">
      <c r="A887" t="s">
        <v>679</v>
      </c>
      <c r="B887">
        <v>100120</v>
      </c>
      <c r="C887" t="s">
        <v>119</v>
      </c>
      <c r="D887" t="s">
        <v>119</v>
      </c>
    </row>
    <row r="888" spans="1:4" x14ac:dyDescent="0.3">
      <c r="A888" t="s">
        <v>679</v>
      </c>
      <c r="B888">
        <v>100120</v>
      </c>
      <c r="C888" t="s">
        <v>123</v>
      </c>
      <c r="D888" t="s">
        <v>123</v>
      </c>
    </row>
    <row r="889" spans="1:4" x14ac:dyDescent="0.3">
      <c r="A889" t="s">
        <v>139</v>
      </c>
      <c r="B889">
        <v>100402</v>
      </c>
      <c r="C889" t="s">
        <v>680</v>
      </c>
      <c r="D889" t="s">
        <v>680</v>
      </c>
    </row>
    <row r="890" spans="1:4" x14ac:dyDescent="0.3">
      <c r="A890" t="s">
        <v>139</v>
      </c>
      <c r="B890">
        <v>100402</v>
      </c>
      <c r="C890" t="s">
        <v>681</v>
      </c>
      <c r="D890" t="s">
        <v>681</v>
      </c>
    </row>
    <row r="891" spans="1:4" x14ac:dyDescent="0.3">
      <c r="A891" t="s">
        <v>139</v>
      </c>
      <c r="B891">
        <v>100402</v>
      </c>
      <c r="C891" t="s">
        <v>592</v>
      </c>
      <c r="D891" t="s">
        <v>592</v>
      </c>
    </row>
    <row r="892" spans="1:4" x14ac:dyDescent="0.3">
      <c r="A892" t="s">
        <v>138</v>
      </c>
      <c r="B892">
        <v>100403</v>
      </c>
      <c r="C892" t="s">
        <v>682</v>
      </c>
      <c r="D892" t="s">
        <v>682</v>
      </c>
    </row>
    <row r="893" spans="1:4" x14ac:dyDescent="0.3">
      <c r="A893" t="s">
        <v>138</v>
      </c>
      <c r="B893">
        <v>100403</v>
      </c>
      <c r="C893" t="s">
        <v>179</v>
      </c>
      <c r="D893" t="s">
        <v>179</v>
      </c>
    </row>
    <row r="894" spans="1:4" x14ac:dyDescent="0.3">
      <c r="A894" t="s">
        <v>683</v>
      </c>
      <c r="B894">
        <v>100422</v>
      </c>
      <c r="C894" t="s">
        <v>684</v>
      </c>
      <c r="D894" t="s">
        <v>239</v>
      </c>
    </row>
    <row r="895" spans="1:4" x14ac:dyDescent="0.3">
      <c r="A895" t="s">
        <v>683</v>
      </c>
      <c r="B895">
        <v>100422</v>
      </c>
      <c r="C895" t="s">
        <v>685</v>
      </c>
      <c r="D895" t="s">
        <v>241</v>
      </c>
    </row>
    <row r="896" spans="1:4" x14ac:dyDescent="0.3">
      <c r="A896" t="s">
        <v>683</v>
      </c>
      <c r="B896">
        <v>100422</v>
      </c>
      <c r="C896" t="s">
        <v>686</v>
      </c>
      <c r="D896" t="s">
        <v>243</v>
      </c>
    </row>
    <row r="897" spans="1:4" x14ac:dyDescent="0.3">
      <c r="A897" t="s">
        <v>683</v>
      </c>
      <c r="B897">
        <v>100422</v>
      </c>
      <c r="C897" t="s">
        <v>687</v>
      </c>
      <c r="D897" t="s">
        <v>245</v>
      </c>
    </row>
    <row r="898" spans="1:4" x14ac:dyDescent="0.3">
      <c r="A898" t="s">
        <v>683</v>
      </c>
      <c r="B898">
        <v>100422</v>
      </c>
      <c r="C898" t="s">
        <v>688</v>
      </c>
      <c r="D898" t="s">
        <v>443</v>
      </c>
    </row>
    <row r="899" spans="1:4" x14ac:dyDescent="0.3">
      <c r="A899" t="s">
        <v>683</v>
      </c>
      <c r="B899">
        <v>100422</v>
      </c>
      <c r="C899" t="s">
        <v>689</v>
      </c>
      <c r="D899" t="s">
        <v>237</v>
      </c>
    </row>
    <row r="900" spans="1:4" x14ac:dyDescent="0.3">
      <c r="A900" t="s">
        <v>690</v>
      </c>
      <c r="B900">
        <v>100423</v>
      </c>
      <c r="C900" t="s">
        <v>689</v>
      </c>
      <c r="D900" t="s">
        <v>237</v>
      </c>
    </row>
    <row r="901" spans="1:4" x14ac:dyDescent="0.3">
      <c r="A901" t="s">
        <v>690</v>
      </c>
      <c r="B901">
        <v>100423</v>
      </c>
      <c r="C901" t="s">
        <v>684</v>
      </c>
      <c r="D901" t="s">
        <v>239</v>
      </c>
    </row>
    <row r="902" spans="1:4" x14ac:dyDescent="0.3">
      <c r="A902" t="s">
        <v>690</v>
      </c>
      <c r="B902">
        <v>100423</v>
      </c>
      <c r="C902" t="s">
        <v>685</v>
      </c>
      <c r="D902" t="s">
        <v>241</v>
      </c>
    </row>
    <row r="903" spans="1:4" x14ac:dyDescent="0.3">
      <c r="A903" t="s">
        <v>690</v>
      </c>
      <c r="B903">
        <v>100423</v>
      </c>
      <c r="C903" t="s">
        <v>686</v>
      </c>
      <c r="D903" t="s">
        <v>243</v>
      </c>
    </row>
    <row r="904" spans="1:4" x14ac:dyDescent="0.3">
      <c r="A904" t="s">
        <v>690</v>
      </c>
      <c r="B904">
        <v>100423</v>
      </c>
      <c r="C904" t="s">
        <v>691</v>
      </c>
      <c r="D904" t="s">
        <v>245</v>
      </c>
    </row>
    <row r="905" spans="1:4" x14ac:dyDescent="0.3">
      <c r="A905" t="s">
        <v>690</v>
      </c>
      <c r="B905">
        <v>100423</v>
      </c>
      <c r="C905" t="s">
        <v>692</v>
      </c>
      <c r="D905" t="s">
        <v>443</v>
      </c>
    </row>
    <row r="906" spans="1:4" x14ac:dyDescent="0.3">
      <c r="A906" t="s">
        <v>693</v>
      </c>
      <c r="B906">
        <v>100424</v>
      </c>
      <c r="C906" t="s">
        <v>689</v>
      </c>
      <c r="D906" t="s">
        <v>237</v>
      </c>
    </row>
    <row r="907" spans="1:4" x14ac:dyDescent="0.3">
      <c r="A907" t="s">
        <v>693</v>
      </c>
      <c r="B907">
        <v>100424</v>
      </c>
      <c r="C907" t="s">
        <v>684</v>
      </c>
      <c r="D907" t="s">
        <v>239</v>
      </c>
    </row>
    <row r="908" spans="1:4" x14ac:dyDescent="0.3">
      <c r="A908" t="s">
        <v>693</v>
      </c>
      <c r="B908">
        <v>100424</v>
      </c>
      <c r="C908" t="s">
        <v>685</v>
      </c>
      <c r="D908" t="s">
        <v>241</v>
      </c>
    </row>
    <row r="909" spans="1:4" x14ac:dyDescent="0.3">
      <c r="A909" t="s">
        <v>693</v>
      </c>
      <c r="B909">
        <v>100424</v>
      </c>
      <c r="C909" t="s">
        <v>686</v>
      </c>
      <c r="D909" t="s">
        <v>243</v>
      </c>
    </row>
    <row r="910" spans="1:4" x14ac:dyDescent="0.3">
      <c r="A910" t="s">
        <v>693</v>
      </c>
      <c r="B910">
        <v>100424</v>
      </c>
      <c r="C910" t="s">
        <v>691</v>
      </c>
      <c r="D910" t="s">
        <v>245</v>
      </c>
    </row>
    <row r="911" spans="1:4" x14ac:dyDescent="0.3">
      <c r="A911" t="s">
        <v>693</v>
      </c>
      <c r="B911">
        <v>100424</v>
      </c>
      <c r="C911" t="s">
        <v>692</v>
      </c>
      <c r="D911" t="s">
        <v>443</v>
      </c>
    </row>
    <row r="912" spans="1:4" x14ac:dyDescent="0.3">
      <c r="A912" t="s">
        <v>694</v>
      </c>
      <c r="B912">
        <v>100268</v>
      </c>
      <c r="C912" t="s">
        <v>695</v>
      </c>
      <c r="D912" t="s">
        <v>695</v>
      </c>
    </row>
    <row r="913" spans="1:4" x14ac:dyDescent="0.3">
      <c r="A913" t="s">
        <v>694</v>
      </c>
      <c r="B913">
        <v>100268</v>
      </c>
      <c r="C913" t="s">
        <v>696</v>
      </c>
      <c r="D913" t="s">
        <v>696</v>
      </c>
    </row>
    <row r="914" spans="1:4" x14ac:dyDescent="0.3">
      <c r="A914" t="s">
        <v>694</v>
      </c>
      <c r="B914">
        <v>100268</v>
      </c>
      <c r="C914" t="s">
        <v>697</v>
      </c>
      <c r="D914" t="s">
        <v>697</v>
      </c>
    </row>
    <row r="915" spans="1:4" x14ac:dyDescent="0.3">
      <c r="A915" t="s">
        <v>694</v>
      </c>
      <c r="B915">
        <v>100268</v>
      </c>
      <c r="C915" t="s">
        <v>698</v>
      </c>
      <c r="D915" t="s">
        <v>698</v>
      </c>
    </row>
    <row r="916" spans="1:4" x14ac:dyDescent="0.3">
      <c r="A916" t="s">
        <v>694</v>
      </c>
      <c r="B916">
        <v>100268</v>
      </c>
      <c r="C916" t="s">
        <v>699</v>
      </c>
      <c r="D916" t="s">
        <v>699</v>
      </c>
    </row>
    <row r="917" spans="1:4" x14ac:dyDescent="0.3">
      <c r="A917" t="s">
        <v>694</v>
      </c>
      <c r="B917">
        <v>100268</v>
      </c>
      <c r="C917" t="s">
        <v>624</v>
      </c>
      <c r="D917" t="s">
        <v>624</v>
      </c>
    </row>
    <row r="918" spans="1:4" x14ac:dyDescent="0.3">
      <c r="A918" t="s">
        <v>700</v>
      </c>
      <c r="B918">
        <v>100270</v>
      </c>
      <c r="C918" t="s">
        <v>695</v>
      </c>
      <c r="D918" t="s">
        <v>695</v>
      </c>
    </row>
    <row r="919" spans="1:4" x14ac:dyDescent="0.3">
      <c r="A919" t="s">
        <v>700</v>
      </c>
      <c r="B919">
        <v>100270</v>
      </c>
      <c r="C919" t="s">
        <v>696</v>
      </c>
      <c r="D919" t="s">
        <v>696</v>
      </c>
    </row>
    <row r="920" spans="1:4" x14ac:dyDescent="0.3">
      <c r="A920" t="s">
        <v>700</v>
      </c>
      <c r="B920">
        <v>100270</v>
      </c>
      <c r="C920" t="s">
        <v>697</v>
      </c>
      <c r="D920" t="s">
        <v>697</v>
      </c>
    </row>
    <row r="921" spans="1:4" x14ac:dyDescent="0.3">
      <c r="A921" t="s">
        <v>700</v>
      </c>
      <c r="B921">
        <v>100270</v>
      </c>
      <c r="C921" t="s">
        <v>698</v>
      </c>
      <c r="D921" t="s">
        <v>698</v>
      </c>
    </row>
    <row r="922" spans="1:4" x14ac:dyDescent="0.3">
      <c r="A922" t="s">
        <v>700</v>
      </c>
      <c r="B922">
        <v>100270</v>
      </c>
      <c r="C922" t="s">
        <v>699</v>
      </c>
      <c r="D922" t="s">
        <v>699</v>
      </c>
    </row>
    <row r="923" spans="1:4" x14ac:dyDescent="0.3">
      <c r="A923" t="s">
        <v>700</v>
      </c>
      <c r="B923">
        <v>100270</v>
      </c>
      <c r="C923" t="s">
        <v>624</v>
      </c>
      <c r="D923" t="s">
        <v>624</v>
      </c>
    </row>
    <row r="924" spans="1:4" x14ac:dyDescent="0.3">
      <c r="A924" t="s">
        <v>701</v>
      </c>
      <c r="B924">
        <v>100123</v>
      </c>
      <c r="C924" t="s">
        <v>702</v>
      </c>
      <c r="D924" t="s">
        <v>702</v>
      </c>
    </row>
    <row r="925" spans="1:4" x14ac:dyDescent="0.3">
      <c r="A925" t="s">
        <v>701</v>
      </c>
      <c r="B925">
        <v>100123</v>
      </c>
      <c r="C925" t="s">
        <v>122</v>
      </c>
      <c r="D925" t="s">
        <v>122</v>
      </c>
    </row>
    <row r="926" spans="1:4" x14ac:dyDescent="0.3">
      <c r="A926" t="s">
        <v>701</v>
      </c>
      <c r="B926">
        <v>100123</v>
      </c>
      <c r="C926" t="s">
        <v>124</v>
      </c>
      <c r="D926" t="s">
        <v>124</v>
      </c>
    </row>
    <row r="927" spans="1:4" x14ac:dyDescent="0.3">
      <c r="A927" t="s">
        <v>701</v>
      </c>
      <c r="B927">
        <v>100123</v>
      </c>
      <c r="C927" t="s">
        <v>119</v>
      </c>
      <c r="D927" t="s">
        <v>119</v>
      </c>
    </row>
    <row r="928" spans="1:4" x14ac:dyDescent="0.3">
      <c r="A928" t="s">
        <v>701</v>
      </c>
      <c r="B928">
        <v>100123</v>
      </c>
      <c r="C928" t="s">
        <v>592</v>
      </c>
      <c r="D928" t="s">
        <v>592</v>
      </c>
    </row>
    <row r="929" spans="1:4" x14ac:dyDescent="0.3">
      <c r="A929" t="s">
        <v>703</v>
      </c>
      <c r="B929">
        <v>100124</v>
      </c>
      <c r="C929" t="s">
        <v>121</v>
      </c>
      <c r="D929" t="s">
        <v>121</v>
      </c>
    </row>
    <row r="930" spans="1:4" x14ac:dyDescent="0.3">
      <c r="A930" t="s">
        <v>703</v>
      </c>
      <c r="B930">
        <v>100124</v>
      </c>
      <c r="C930" t="s">
        <v>120</v>
      </c>
      <c r="D930" t="s">
        <v>120</v>
      </c>
    </row>
    <row r="931" spans="1:4" x14ac:dyDescent="0.3">
      <c r="A931" t="s">
        <v>704</v>
      </c>
      <c r="B931">
        <v>100128</v>
      </c>
      <c r="C931" t="s">
        <v>121</v>
      </c>
      <c r="D931" t="s">
        <v>121</v>
      </c>
    </row>
    <row r="932" spans="1:4" x14ac:dyDescent="0.3">
      <c r="A932" t="s">
        <v>704</v>
      </c>
      <c r="B932">
        <v>100128</v>
      </c>
      <c r="C932" t="s">
        <v>120</v>
      </c>
      <c r="D932" t="s">
        <v>120</v>
      </c>
    </row>
    <row r="933" spans="1:4" x14ac:dyDescent="0.3">
      <c r="A933" t="s">
        <v>705</v>
      </c>
      <c r="B933">
        <v>100130</v>
      </c>
      <c r="C933" t="s">
        <v>121</v>
      </c>
      <c r="D933" t="s">
        <v>121</v>
      </c>
    </row>
    <row r="934" spans="1:4" x14ac:dyDescent="0.3">
      <c r="A934" t="s">
        <v>705</v>
      </c>
      <c r="B934">
        <v>100130</v>
      </c>
      <c r="C934" t="s">
        <v>706</v>
      </c>
      <c r="D934" t="s">
        <v>706</v>
      </c>
    </row>
    <row r="935" spans="1:4" x14ac:dyDescent="0.3">
      <c r="A935" t="s">
        <v>705</v>
      </c>
      <c r="B935">
        <v>100130</v>
      </c>
      <c r="C935" t="s">
        <v>120</v>
      </c>
      <c r="D935" t="s">
        <v>120</v>
      </c>
    </row>
    <row r="936" spans="1:4" x14ac:dyDescent="0.3">
      <c r="A936" t="s">
        <v>97</v>
      </c>
      <c r="B936">
        <v>100132</v>
      </c>
      <c r="C936" t="s">
        <v>707</v>
      </c>
      <c r="D936" t="s">
        <v>707</v>
      </c>
    </row>
    <row r="937" spans="1:4" x14ac:dyDescent="0.3">
      <c r="A937" t="s">
        <v>97</v>
      </c>
      <c r="B937">
        <v>100132</v>
      </c>
      <c r="C937" t="s">
        <v>708</v>
      </c>
      <c r="D937" t="s">
        <v>708</v>
      </c>
    </row>
    <row r="938" spans="1:4" x14ac:dyDescent="0.3">
      <c r="A938" t="s">
        <v>97</v>
      </c>
      <c r="B938">
        <v>100132</v>
      </c>
      <c r="C938" t="s">
        <v>709</v>
      </c>
      <c r="D938" t="s">
        <v>709</v>
      </c>
    </row>
    <row r="939" spans="1:4" x14ac:dyDescent="0.3">
      <c r="A939" t="s">
        <v>97</v>
      </c>
      <c r="B939">
        <v>100132</v>
      </c>
      <c r="C939" t="s">
        <v>710</v>
      </c>
      <c r="D939" t="s">
        <v>710</v>
      </c>
    </row>
    <row r="940" spans="1:4" x14ac:dyDescent="0.3">
      <c r="A940" t="s">
        <v>711</v>
      </c>
      <c r="B940">
        <v>100133</v>
      </c>
      <c r="C940" t="s">
        <v>121</v>
      </c>
      <c r="D940" t="s">
        <v>121</v>
      </c>
    </row>
    <row r="941" spans="1:4" x14ac:dyDescent="0.3">
      <c r="A941" t="s">
        <v>711</v>
      </c>
      <c r="B941">
        <v>100133</v>
      </c>
      <c r="C941" t="s">
        <v>120</v>
      </c>
      <c r="D941" t="s">
        <v>120</v>
      </c>
    </row>
    <row r="942" spans="1:4" x14ac:dyDescent="0.3">
      <c r="A942" t="s">
        <v>712</v>
      </c>
      <c r="B942">
        <v>100756</v>
      </c>
      <c r="C942" t="s">
        <v>188</v>
      </c>
      <c r="D942" t="s">
        <v>188</v>
      </c>
    </row>
    <row r="943" spans="1:4" x14ac:dyDescent="0.3">
      <c r="A943" t="s">
        <v>712</v>
      </c>
      <c r="B943">
        <v>100756</v>
      </c>
      <c r="C943" t="s">
        <v>189</v>
      </c>
      <c r="D943" t="s">
        <v>189</v>
      </c>
    </row>
    <row r="944" spans="1:4" x14ac:dyDescent="0.3">
      <c r="A944" t="s">
        <v>712</v>
      </c>
      <c r="B944">
        <v>100756</v>
      </c>
      <c r="C944" t="s">
        <v>190</v>
      </c>
      <c r="D944" t="s">
        <v>190</v>
      </c>
    </row>
    <row r="945" spans="1:4" x14ac:dyDescent="0.3">
      <c r="A945" t="s">
        <v>712</v>
      </c>
      <c r="B945">
        <v>100756</v>
      </c>
      <c r="C945" t="s">
        <v>191</v>
      </c>
      <c r="D945" t="s">
        <v>191</v>
      </c>
    </row>
    <row r="946" spans="1:4" x14ac:dyDescent="0.3">
      <c r="A946" t="s">
        <v>713</v>
      </c>
      <c r="B946">
        <v>100759</v>
      </c>
      <c r="C946" t="s">
        <v>122</v>
      </c>
      <c r="D946" t="s">
        <v>122</v>
      </c>
    </row>
    <row r="947" spans="1:4" x14ac:dyDescent="0.3">
      <c r="A947" t="s">
        <v>713</v>
      </c>
      <c r="B947">
        <v>100759</v>
      </c>
      <c r="C947" t="s">
        <v>124</v>
      </c>
      <c r="D947" t="s">
        <v>124</v>
      </c>
    </row>
    <row r="948" spans="1:4" x14ac:dyDescent="0.3">
      <c r="A948" t="s">
        <v>713</v>
      </c>
      <c r="B948">
        <v>100759</v>
      </c>
      <c r="C948" t="s">
        <v>119</v>
      </c>
      <c r="D948" t="s">
        <v>119</v>
      </c>
    </row>
    <row r="949" spans="1:4" x14ac:dyDescent="0.3">
      <c r="A949" t="s">
        <v>714</v>
      </c>
      <c r="B949">
        <v>100760</v>
      </c>
      <c r="C949" t="s">
        <v>122</v>
      </c>
      <c r="D949" t="s">
        <v>122</v>
      </c>
    </row>
    <row r="950" spans="1:4" x14ac:dyDescent="0.3">
      <c r="A950" t="s">
        <v>714</v>
      </c>
      <c r="B950">
        <v>100760</v>
      </c>
      <c r="C950" t="s">
        <v>124</v>
      </c>
      <c r="D950" t="s">
        <v>124</v>
      </c>
    </row>
    <row r="951" spans="1:4" x14ac:dyDescent="0.3">
      <c r="A951" t="s">
        <v>714</v>
      </c>
      <c r="B951">
        <v>100760</v>
      </c>
      <c r="C951" t="s">
        <v>119</v>
      </c>
      <c r="D951" t="s">
        <v>119</v>
      </c>
    </row>
    <row r="952" spans="1:4" x14ac:dyDescent="0.3">
      <c r="A952" t="s">
        <v>715</v>
      </c>
      <c r="B952">
        <v>100761</v>
      </c>
      <c r="C952" t="s">
        <v>122</v>
      </c>
      <c r="D952" t="s">
        <v>122</v>
      </c>
    </row>
    <row r="953" spans="1:4" x14ac:dyDescent="0.3">
      <c r="A953" t="s">
        <v>715</v>
      </c>
      <c r="B953">
        <v>100761</v>
      </c>
      <c r="C953" t="s">
        <v>124</v>
      </c>
      <c r="D953" t="s">
        <v>124</v>
      </c>
    </row>
    <row r="954" spans="1:4" x14ac:dyDescent="0.3">
      <c r="A954" t="s">
        <v>715</v>
      </c>
      <c r="B954">
        <v>100761</v>
      </c>
      <c r="C954" t="s">
        <v>119</v>
      </c>
      <c r="D954" t="s">
        <v>119</v>
      </c>
    </row>
    <row r="955" spans="1:4" x14ac:dyDescent="0.3">
      <c r="A955" t="s">
        <v>90</v>
      </c>
      <c r="B955">
        <v>100762</v>
      </c>
      <c r="C955" t="s">
        <v>122</v>
      </c>
      <c r="D955" t="s">
        <v>122</v>
      </c>
    </row>
    <row r="956" spans="1:4" x14ac:dyDescent="0.3">
      <c r="A956" t="s">
        <v>90</v>
      </c>
      <c r="B956">
        <v>100134</v>
      </c>
      <c r="C956" t="s">
        <v>122</v>
      </c>
      <c r="D956" t="s">
        <v>122</v>
      </c>
    </row>
    <row r="957" spans="1:4" x14ac:dyDescent="0.3">
      <c r="A957" t="s">
        <v>90</v>
      </c>
      <c r="B957">
        <v>100762</v>
      </c>
      <c r="C957" t="s">
        <v>124</v>
      </c>
      <c r="D957" t="s">
        <v>124</v>
      </c>
    </row>
    <row r="958" spans="1:4" x14ac:dyDescent="0.3">
      <c r="A958" t="s">
        <v>90</v>
      </c>
      <c r="B958">
        <v>100134</v>
      </c>
      <c r="C958" t="s">
        <v>124</v>
      </c>
      <c r="D958" t="s">
        <v>124</v>
      </c>
    </row>
    <row r="959" spans="1:4" x14ac:dyDescent="0.3">
      <c r="A959" t="s">
        <v>90</v>
      </c>
      <c r="B959">
        <v>100762</v>
      </c>
      <c r="C959" t="s">
        <v>119</v>
      </c>
      <c r="D959" t="s">
        <v>119</v>
      </c>
    </row>
    <row r="960" spans="1:4" x14ac:dyDescent="0.3">
      <c r="A960" t="s">
        <v>90</v>
      </c>
      <c r="B960">
        <v>100134</v>
      </c>
      <c r="C960" t="s">
        <v>119</v>
      </c>
      <c r="D960" t="s">
        <v>119</v>
      </c>
    </row>
    <row r="961" spans="1:4" x14ac:dyDescent="0.3">
      <c r="A961" t="s">
        <v>90</v>
      </c>
      <c r="B961">
        <v>100762</v>
      </c>
      <c r="C961" t="s">
        <v>194</v>
      </c>
      <c r="D961" t="s">
        <v>194</v>
      </c>
    </row>
    <row r="962" spans="1:4" x14ac:dyDescent="0.3">
      <c r="A962" t="s">
        <v>90</v>
      </c>
      <c r="B962">
        <v>100134</v>
      </c>
      <c r="C962" t="s">
        <v>194</v>
      </c>
      <c r="D962" t="s">
        <v>194</v>
      </c>
    </row>
    <row r="963" spans="1:4" x14ac:dyDescent="0.3">
      <c r="A963" t="s">
        <v>716</v>
      </c>
      <c r="B963">
        <v>100135</v>
      </c>
      <c r="C963" t="s">
        <v>717</v>
      </c>
      <c r="D963" t="s">
        <v>717</v>
      </c>
    </row>
    <row r="964" spans="1:4" x14ac:dyDescent="0.3">
      <c r="A964" t="s">
        <v>716</v>
      </c>
      <c r="B964">
        <v>100135</v>
      </c>
      <c r="C964" t="s">
        <v>718</v>
      </c>
      <c r="D964" t="s">
        <v>718</v>
      </c>
    </row>
    <row r="965" spans="1:4" x14ac:dyDescent="0.3">
      <c r="A965" t="s">
        <v>716</v>
      </c>
      <c r="B965">
        <v>100135</v>
      </c>
      <c r="C965" t="s">
        <v>426</v>
      </c>
      <c r="D965" t="s">
        <v>426</v>
      </c>
    </row>
    <row r="966" spans="1:4" x14ac:dyDescent="0.3">
      <c r="A966" t="s">
        <v>716</v>
      </c>
      <c r="B966">
        <v>100135</v>
      </c>
      <c r="C966" t="s">
        <v>719</v>
      </c>
      <c r="D966" t="s">
        <v>719</v>
      </c>
    </row>
    <row r="967" spans="1:4" x14ac:dyDescent="0.3">
      <c r="A967" t="s">
        <v>720</v>
      </c>
      <c r="B967">
        <v>100136</v>
      </c>
      <c r="C967" t="s">
        <v>122</v>
      </c>
      <c r="D967" t="s">
        <v>122</v>
      </c>
    </row>
    <row r="968" spans="1:4" x14ac:dyDescent="0.3">
      <c r="A968" t="s">
        <v>720</v>
      </c>
      <c r="B968">
        <v>100136</v>
      </c>
      <c r="C968" t="s">
        <v>118</v>
      </c>
      <c r="D968" t="s">
        <v>118</v>
      </c>
    </row>
    <row r="969" spans="1:4" x14ac:dyDescent="0.3">
      <c r="A969" t="s">
        <v>720</v>
      </c>
      <c r="B969">
        <v>100136</v>
      </c>
      <c r="C969" t="s">
        <v>119</v>
      </c>
      <c r="D969" t="s">
        <v>119</v>
      </c>
    </row>
    <row r="970" spans="1:4" x14ac:dyDescent="0.3">
      <c r="A970" t="s">
        <v>721</v>
      </c>
      <c r="B970">
        <v>100137</v>
      </c>
      <c r="C970" t="s">
        <v>122</v>
      </c>
      <c r="D970" t="s">
        <v>122</v>
      </c>
    </row>
    <row r="971" spans="1:4" x14ac:dyDescent="0.3">
      <c r="A971" t="s">
        <v>721</v>
      </c>
      <c r="B971">
        <v>100137</v>
      </c>
      <c r="C971" t="s">
        <v>118</v>
      </c>
      <c r="D971" t="s">
        <v>118</v>
      </c>
    </row>
    <row r="972" spans="1:4" x14ac:dyDescent="0.3">
      <c r="A972" t="s">
        <v>721</v>
      </c>
      <c r="B972">
        <v>100137</v>
      </c>
      <c r="C972" t="s">
        <v>119</v>
      </c>
      <c r="D972" t="s">
        <v>119</v>
      </c>
    </row>
    <row r="973" spans="1:4" x14ac:dyDescent="0.3">
      <c r="A973" t="s">
        <v>722</v>
      </c>
      <c r="B973">
        <v>100138</v>
      </c>
      <c r="C973" t="s">
        <v>122</v>
      </c>
      <c r="D973" t="s">
        <v>122</v>
      </c>
    </row>
    <row r="974" spans="1:4" x14ac:dyDescent="0.3">
      <c r="A974" t="s">
        <v>722</v>
      </c>
      <c r="B974">
        <v>100138</v>
      </c>
      <c r="C974" t="s">
        <v>118</v>
      </c>
      <c r="D974" t="s">
        <v>118</v>
      </c>
    </row>
    <row r="975" spans="1:4" x14ac:dyDescent="0.3">
      <c r="A975" t="s">
        <v>722</v>
      </c>
      <c r="B975">
        <v>100138</v>
      </c>
      <c r="C975" t="s">
        <v>119</v>
      </c>
      <c r="D975" t="s">
        <v>119</v>
      </c>
    </row>
    <row r="976" spans="1:4" x14ac:dyDescent="0.3">
      <c r="A976" t="s">
        <v>723</v>
      </c>
      <c r="B976">
        <v>100139</v>
      </c>
      <c r="C976" t="s">
        <v>122</v>
      </c>
      <c r="D976" t="s">
        <v>122</v>
      </c>
    </row>
    <row r="977" spans="1:4" x14ac:dyDescent="0.3">
      <c r="A977" t="s">
        <v>723</v>
      </c>
      <c r="B977">
        <v>100139</v>
      </c>
      <c r="C977" t="s">
        <v>124</v>
      </c>
      <c r="D977" t="s">
        <v>124</v>
      </c>
    </row>
    <row r="978" spans="1:4" x14ac:dyDescent="0.3">
      <c r="A978" t="s">
        <v>723</v>
      </c>
      <c r="B978">
        <v>100139</v>
      </c>
      <c r="C978" t="s">
        <v>119</v>
      </c>
      <c r="D978" t="s">
        <v>119</v>
      </c>
    </row>
    <row r="979" spans="1:4" x14ac:dyDescent="0.3">
      <c r="A979" t="s">
        <v>724</v>
      </c>
      <c r="B979">
        <v>100140</v>
      </c>
      <c r="C979" t="s">
        <v>725</v>
      </c>
      <c r="D979" t="s">
        <v>122</v>
      </c>
    </row>
    <row r="980" spans="1:4" x14ac:dyDescent="0.3">
      <c r="A980" t="s">
        <v>724</v>
      </c>
      <c r="B980">
        <v>100140</v>
      </c>
      <c r="C980" t="s">
        <v>726</v>
      </c>
      <c r="D980" t="s">
        <v>124</v>
      </c>
    </row>
    <row r="981" spans="1:4" x14ac:dyDescent="0.3">
      <c r="A981" t="s">
        <v>724</v>
      </c>
      <c r="B981">
        <v>100140</v>
      </c>
      <c r="C981" t="s">
        <v>727</v>
      </c>
      <c r="D981" t="s">
        <v>119</v>
      </c>
    </row>
    <row r="982" spans="1:4" x14ac:dyDescent="0.3">
      <c r="A982" t="s">
        <v>728</v>
      </c>
      <c r="B982">
        <v>100141</v>
      </c>
      <c r="C982" t="s">
        <v>729</v>
      </c>
      <c r="D982" t="s">
        <v>122</v>
      </c>
    </row>
    <row r="983" spans="1:4" x14ac:dyDescent="0.3">
      <c r="A983" t="s">
        <v>728</v>
      </c>
      <c r="B983">
        <v>100141</v>
      </c>
      <c r="C983" t="s">
        <v>730</v>
      </c>
      <c r="D983" t="s">
        <v>124</v>
      </c>
    </row>
    <row r="984" spans="1:4" x14ac:dyDescent="0.3">
      <c r="A984" t="s">
        <v>728</v>
      </c>
      <c r="B984">
        <v>100141</v>
      </c>
      <c r="C984" t="s">
        <v>731</v>
      </c>
      <c r="D984" t="s">
        <v>119</v>
      </c>
    </row>
    <row r="985" spans="1:4" x14ac:dyDescent="0.3">
      <c r="A985" t="s">
        <v>732</v>
      </c>
      <c r="B985">
        <v>100341</v>
      </c>
      <c r="C985" t="s">
        <v>733</v>
      </c>
      <c r="D985" t="s">
        <v>119</v>
      </c>
    </row>
    <row r="986" spans="1:4" x14ac:dyDescent="0.3">
      <c r="A986" t="s">
        <v>732</v>
      </c>
      <c r="B986">
        <v>100341</v>
      </c>
      <c r="C986" t="s">
        <v>734</v>
      </c>
      <c r="D986" t="s">
        <v>124</v>
      </c>
    </row>
    <row r="987" spans="1:4" x14ac:dyDescent="0.3">
      <c r="A987" t="s">
        <v>732</v>
      </c>
      <c r="B987">
        <v>100341</v>
      </c>
      <c r="C987" t="s">
        <v>735</v>
      </c>
      <c r="D987" t="s">
        <v>122</v>
      </c>
    </row>
    <row r="988" spans="1:4" x14ac:dyDescent="0.3">
      <c r="A988" t="s">
        <v>736</v>
      </c>
      <c r="B988">
        <v>100142</v>
      </c>
      <c r="C988" t="s">
        <v>737</v>
      </c>
      <c r="D988" t="s">
        <v>122</v>
      </c>
    </row>
    <row r="989" spans="1:4" x14ac:dyDescent="0.3">
      <c r="A989" t="s">
        <v>736</v>
      </c>
      <c r="B989">
        <v>100142</v>
      </c>
      <c r="C989" t="s">
        <v>738</v>
      </c>
      <c r="D989" t="s">
        <v>124</v>
      </c>
    </row>
    <row r="990" spans="1:4" x14ac:dyDescent="0.3">
      <c r="A990" t="s">
        <v>736</v>
      </c>
      <c r="B990">
        <v>100142</v>
      </c>
      <c r="C990" t="s">
        <v>739</v>
      </c>
      <c r="D990" t="s">
        <v>119</v>
      </c>
    </row>
    <row r="991" spans="1:4" x14ac:dyDescent="0.3">
      <c r="A991" t="s">
        <v>740</v>
      </c>
      <c r="B991">
        <v>100143</v>
      </c>
      <c r="C991" t="s">
        <v>122</v>
      </c>
      <c r="D991" t="s">
        <v>122</v>
      </c>
    </row>
    <row r="992" spans="1:4" x14ac:dyDescent="0.3">
      <c r="A992" t="s">
        <v>740</v>
      </c>
      <c r="B992">
        <v>100143</v>
      </c>
      <c r="C992" t="s">
        <v>118</v>
      </c>
      <c r="D992" t="s">
        <v>118</v>
      </c>
    </row>
    <row r="993" spans="1:4" x14ac:dyDescent="0.3">
      <c r="A993" t="s">
        <v>740</v>
      </c>
      <c r="B993">
        <v>100143</v>
      </c>
      <c r="C993" t="s">
        <v>119</v>
      </c>
      <c r="D993" t="s">
        <v>119</v>
      </c>
    </row>
    <row r="994" spans="1:4" x14ac:dyDescent="0.3">
      <c r="A994" t="s">
        <v>741</v>
      </c>
      <c r="B994">
        <v>100144</v>
      </c>
      <c r="C994" t="s">
        <v>122</v>
      </c>
      <c r="D994" t="s">
        <v>122</v>
      </c>
    </row>
    <row r="995" spans="1:4" x14ac:dyDescent="0.3">
      <c r="A995" t="s">
        <v>741</v>
      </c>
      <c r="B995">
        <v>100144</v>
      </c>
      <c r="C995" t="s">
        <v>118</v>
      </c>
      <c r="D995" t="s">
        <v>118</v>
      </c>
    </row>
    <row r="996" spans="1:4" x14ac:dyDescent="0.3">
      <c r="A996" t="s">
        <v>741</v>
      </c>
      <c r="B996">
        <v>100144</v>
      </c>
      <c r="C996" t="s">
        <v>119</v>
      </c>
      <c r="D996" t="s">
        <v>119</v>
      </c>
    </row>
    <row r="997" spans="1:4" x14ac:dyDescent="0.3">
      <c r="A997" t="s">
        <v>742</v>
      </c>
      <c r="B997">
        <v>100145</v>
      </c>
      <c r="C997" t="s">
        <v>122</v>
      </c>
      <c r="D997" t="s">
        <v>122</v>
      </c>
    </row>
    <row r="998" spans="1:4" x14ac:dyDescent="0.3">
      <c r="A998" t="s">
        <v>742</v>
      </c>
      <c r="B998">
        <v>100145</v>
      </c>
      <c r="C998" t="s">
        <v>118</v>
      </c>
      <c r="D998" t="s">
        <v>118</v>
      </c>
    </row>
    <row r="999" spans="1:4" x14ac:dyDescent="0.3">
      <c r="A999" t="s">
        <v>742</v>
      </c>
      <c r="B999">
        <v>100145</v>
      </c>
      <c r="C999" t="s">
        <v>119</v>
      </c>
      <c r="D999" t="s">
        <v>119</v>
      </c>
    </row>
    <row r="1000" spans="1:4" x14ac:dyDescent="0.3">
      <c r="A1000" t="s">
        <v>743</v>
      </c>
      <c r="B1000">
        <v>100147</v>
      </c>
      <c r="C1000" t="s">
        <v>744</v>
      </c>
      <c r="D1000" t="s">
        <v>744</v>
      </c>
    </row>
    <row r="1001" spans="1:4" x14ac:dyDescent="0.3">
      <c r="A1001" t="s">
        <v>743</v>
      </c>
      <c r="B1001">
        <v>100147</v>
      </c>
      <c r="C1001" t="s">
        <v>745</v>
      </c>
      <c r="D1001" t="s">
        <v>745</v>
      </c>
    </row>
    <row r="1002" spans="1:4" x14ac:dyDescent="0.3">
      <c r="A1002" t="s">
        <v>743</v>
      </c>
      <c r="B1002">
        <v>100147</v>
      </c>
      <c r="C1002" t="s">
        <v>746</v>
      </c>
      <c r="D1002" t="s">
        <v>746</v>
      </c>
    </row>
    <row r="1003" spans="1:4" x14ac:dyDescent="0.3">
      <c r="A1003" t="s">
        <v>743</v>
      </c>
      <c r="B1003">
        <v>100147</v>
      </c>
      <c r="C1003" t="s">
        <v>747</v>
      </c>
      <c r="D1003" t="s">
        <v>747</v>
      </c>
    </row>
    <row r="1004" spans="1:4" x14ac:dyDescent="0.3">
      <c r="A1004" t="s">
        <v>748</v>
      </c>
      <c r="B1004">
        <v>100394</v>
      </c>
      <c r="C1004" t="s">
        <v>79</v>
      </c>
      <c r="D1004" t="s">
        <v>79</v>
      </c>
    </row>
    <row r="1005" spans="1:4" x14ac:dyDescent="0.3">
      <c r="A1005" t="s">
        <v>748</v>
      </c>
      <c r="B1005">
        <v>100394</v>
      </c>
      <c r="C1005" t="s">
        <v>80</v>
      </c>
      <c r="D1005" t="s">
        <v>80</v>
      </c>
    </row>
    <row r="1006" spans="1:4" x14ac:dyDescent="0.3">
      <c r="A1006" t="s">
        <v>748</v>
      </c>
      <c r="B1006">
        <v>100394</v>
      </c>
      <c r="C1006" t="s">
        <v>695</v>
      </c>
      <c r="D1006" t="s">
        <v>695</v>
      </c>
    </row>
    <row r="1007" spans="1:4" x14ac:dyDescent="0.3">
      <c r="A1007" t="s">
        <v>748</v>
      </c>
      <c r="B1007">
        <v>100394</v>
      </c>
      <c r="C1007" t="s">
        <v>749</v>
      </c>
      <c r="D1007" t="s">
        <v>749</v>
      </c>
    </row>
    <row r="1008" spans="1:4" x14ac:dyDescent="0.3">
      <c r="A1008" t="s">
        <v>748</v>
      </c>
      <c r="B1008">
        <v>100394</v>
      </c>
      <c r="C1008" t="s">
        <v>592</v>
      </c>
      <c r="D1008" t="s">
        <v>592</v>
      </c>
    </row>
    <row r="1009" spans="1:4" x14ac:dyDescent="0.3">
      <c r="A1009" t="s">
        <v>750</v>
      </c>
      <c r="B1009">
        <v>100395</v>
      </c>
      <c r="C1009" t="s">
        <v>122</v>
      </c>
      <c r="D1009" t="s">
        <v>122</v>
      </c>
    </row>
    <row r="1010" spans="1:4" x14ac:dyDescent="0.3">
      <c r="A1010" t="s">
        <v>750</v>
      </c>
      <c r="B1010">
        <v>100395</v>
      </c>
      <c r="C1010" t="s">
        <v>124</v>
      </c>
      <c r="D1010" t="s">
        <v>124</v>
      </c>
    </row>
    <row r="1011" spans="1:4" x14ac:dyDescent="0.3">
      <c r="A1011" t="s">
        <v>750</v>
      </c>
      <c r="B1011">
        <v>100395</v>
      </c>
      <c r="C1011" t="s">
        <v>119</v>
      </c>
      <c r="D1011" t="s">
        <v>119</v>
      </c>
    </row>
    <row r="1012" spans="1:4" x14ac:dyDescent="0.3">
      <c r="A1012" t="s">
        <v>750</v>
      </c>
      <c r="B1012">
        <v>100395</v>
      </c>
      <c r="C1012" t="s">
        <v>749</v>
      </c>
      <c r="D1012" t="s">
        <v>749</v>
      </c>
    </row>
    <row r="1013" spans="1:4" x14ac:dyDescent="0.3">
      <c r="A1013" t="s">
        <v>750</v>
      </c>
      <c r="B1013">
        <v>100395</v>
      </c>
      <c r="C1013" t="s">
        <v>695</v>
      </c>
      <c r="D1013" t="s">
        <v>695</v>
      </c>
    </row>
    <row r="1014" spans="1:4" x14ac:dyDescent="0.3">
      <c r="A1014" t="s">
        <v>750</v>
      </c>
      <c r="B1014">
        <v>100395</v>
      </c>
      <c r="C1014" t="s">
        <v>592</v>
      </c>
      <c r="D1014" t="s">
        <v>592</v>
      </c>
    </row>
    <row r="1015" spans="1:4" x14ac:dyDescent="0.3">
      <c r="A1015" t="s">
        <v>751</v>
      </c>
      <c r="B1015">
        <v>100397</v>
      </c>
      <c r="C1015" t="s">
        <v>122</v>
      </c>
      <c r="D1015" t="s">
        <v>122</v>
      </c>
    </row>
    <row r="1016" spans="1:4" x14ac:dyDescent="0.3">
      <c r="A1016" t="s">
        <v>751</v>
      </c>
      <c r="B1016">
        <v>100397</v>
      </c>
      <c r="C1016" t="s">
        <v>124</v>
      </c>
      <c r="D1016" t="s">
        <v>124</v>
      </c>
    </row>
    <row r="1017" spans="1:4" x14ac:dyDescent="0.3">
      <c r="A1017" t="s">
        <v>751</v>
      </c>
      <c r="B1017">
        <v>100397</v>
      </c>
      <c r="C1017" t="s">
        <v>119</v>
      </c>
      <c r="D1017" t="s">
        <v>119</v>
      </c>
    </row>
    <row r="1018" spans="1:4" x14ac:dyDescent="0.3">
      <c r="A1018" t="s">
        <v>751</v>
      </c>
      <c r="B1018">
        <v>100397</v>
      </c>
      <c r="C1018" t="s">
        <v>123</v>
      </c>
      <c r="D1018" t="s">
        <v>123</v>
      </c>
    </row>
    <row r="1019" spans="1:4" x14ac:dyDescent="0.3">
      <c r="A1019" t="s">
        <v>752</v>
      </c>
      <c r="B1019">
        <v>100414</v>
      </c>
      <c r="C1019" t="s">
        <v>753</v>
      </c>
      <c r="D1019" t="s">
        <v>237</v>
      </c>
    </row>
    <row r="1020" spans="1:4" x14ac:dyDescent="0.3">
      <c r="A1020" t="s">
        <v>752</v>
      </c>
      <c r="B1020">
        <v>100414</v>
      </c>
      <c r="C1020" t="s">
        <v>754</v>
      </c>
      <c r="D1020" t="s">
        <v>239</v>
      </c>
    </row>
    <row r="1021" spans="1:4" x14ac:dyDescent="0.3">
      <c r="A1021" t="s">
        <v>752</v>
      </c>
      <c r="B1021">
        <v>100414</v>
      </c>
      <c r="C1021" t="s">
        <v>755</v>
      </c>
      <c r="D1021" t="s">
        <v>241</v>
      </c>
    </row>
    <row r="1022" spans="1:4" x14ac:dyDescent="0.3">
      <c r="A1022" t="s">
        <v>752</v>
      </c>
      <c r="B1022">
        <v>100414</v>
      </c>
      <c r="C1022" t="s">
        <v>756</v>
      </c>
      <c r="D1022" t="s">
        <v>243</v>
      </c>
    </row>
    <row r="1023" spans="1:4" x14ac:dyDescent="0.3">
      <c r="A1023" t="s">
        <v>757</v>
      </c>
      <c r="B1023">
        <v>100415</v>
      </c>
      <c r="C1023" t="s">
        <v>758</v>
      </c>
      <c r="D1023" t="s">
        <v>237</v>
      </c>
    </row>
    <row r="1024" spans="1:4" x14ac:dyDescent="0.3">
      <c r="A1024" t="s">
        <v>757</v>
      </c>
      <c r="B1024">
        <v>100415</v>
      </c>
      <c r="C1024" t="s">
        <v>759</v>
      </c>
      <c r="D1024" t="s">
        <v>239</v>
      </c>
    </row>
    <row r="1025" spans="1:4" x14ac:dyDescent="0.3">
      <c r="A1025" t="s">
        <v>757</v>
      </c>
      <c r="B1025">
        <v>100415</v>
      </c>
      <c r="C1025" t="s">
        <v>760</v>
      </c>
      <c r="D1025" t="s">
        <v>241</v>
      </c>
    </row>
    <row r="1026" spans="1:4" x14ac:dyDescent="0.3">
      <c r="A1026" t="s">
        <v>757</v>
      </c>
      <c r="B1026">
        <v>100415</v>
      </c>
      <c r="C1026" t="s">
        <v>761</v>
      </c>
      <c r="D1026" t="s">
        <v>243</v>
      </c>
    </row>
    <row r="1027" spans="1:4" x14ac:dyDescent="0.3">
      <c r="A1027" t="s">
        <v>757</v>
      </c>
      <c r="B1027">
        <v>100415</v>
      </c>
      <c r="C1027" t="s">
        <v>762</v>
      </c>
      <c r="D1027" t="s">
        <v>245</v>
      </c>
    </row>
    <row r="1028" spans="1:4" x14ac:dyDescent="0.3">
      <c r="A1028" t="s">
        <v>763</v>
      </c>
      <c r="B1028">
        <v>100290</v>
      </c>
      <c r="C1028" t="s">
        <v>764</v>
      </c>
      <c r="D1028" t="s">
        <v>239</v>
      </c>
    </row>
    <row r="1029" spans="1:4" x14ac:dyDescent="0.3">
      <c r="A1029" t="s">
        <v>763</v>
      </c>
      <c r="B1029">
        <v>100417</v>
      </c>
      <c r="C1029" t="s">
        <v>764</v>
      </c>
      <c r="D1029" t="s">
        <v>239</v>
      </c>
    </row>
    <row r="1030" spans="1:4" x14ac:dyDescent="0.3">
      <c r="A1030" t="s">
        <v>763</v>
      </c>
      <c r="B1030">
        <v>100290</v>
      </c>
      <c r="C1030" t="s">
        <v>765</v>
      </c>
      <c r="D1030" t="s">
        <v>241</v>
      </c>
    </row>
    <row r="1031" spans="1:4" x14ac:dyDescent="0.3">
      <c r="A1031" t="s">
        <v>763</v>
      </c>
      <c r="B1031">
        <v>100417</v>
      </c>
      <c r="C1031" t="s">
        <v>765</v>
      </c>
      <c r="D1031" t="s">
        <v>241</v>
      </c>
    </row>
    <row r="1032" spans="1:4" x14ac:dyDescent="0.3">
      <c r="A1032" t="s">
        <v>763</v>
      </c>
      <c r="B1032">
        <v>100290</v>
      </c>
      <c r="C1032" t="s">
        <v>766</v>
      </c>
      <c r="D1032" t="s">
        <v>243</v>
      </c>
    </row>
    <row r="1033" spans="1:4" x14ac:dyDescent="0.3">
      <c r="A1033" t="s">
        <v>763</v>
      </c>
      <c r="B1033">
        <v>100417</v>
      </c>
      <c r="C1033" t="s">
        <v>766</v>
      </c>
      <c r="D1033" t="s">
        <v>243</v>
      </c>
    </row>
    <row r="1034" spans="1:4" x14ac:dyDescent="0.3">
      <c r="A1034" t="s">
        <v>763</v>
      </c>
      <c r="B1034">
        <v>100290</v>
      </c>
      <c r="C1034" t="s">
        <v>767</v>
      </c>
      <c r="D1034" t="s">
        <v>245</v>
      </c>
    </row>
    <row r="1035" spans="1:4" x14ac:dyDescent="0.3">
      <c r="A1035" t="s">
        <v>763</v>
      </c>
      <c r="B1035">
        <v>100417</v>
      </c>
      <c r="C1035" t="s">
        <v>767</v>
      </c>
      <c r="D1035" t="s">
        <v>245</v>
      </c>
    </row>
    <row r="1036" spans="1:4" x14ac:dyDescent="0.3">
      <c r="A1036" t="s">
        <v>763</v>
      </c>
      <c r="B1036">
        <v>100290</v>
      </c>
      <c r="C1036" t="s">
        <v>768</v>
      </c>
      <c r="D1036" t="s">
        <v>443</v>
      </c>
    </row>
    <row r="1037" spans="1:4" x14ac:dyDescent="0.3">
      <c r="A1037" t="s">
        <v>763</v>
      </c>
      <c r="B1037">
        <v>100417</v>
      </c>
      <c r="C1037" t="s">
        <v>768</v>
      </c>
      <c r="D1037" t="s">
        <v>443</v>
      </c>
    </row>
    <row r="1038" spans="1:4" x14ac:dyDescent="0.3">
      <c r="A1038" t="s">
        <v>769</v>
      </c>
      <c r="B1038">
        <v>100418</v>
      </c>
      <c r="C1038" t="s">
        <v>770</v>
      </c>
      <c r="D1038" t="s">
        <v>239</v>
      </c>
    </row>
    <row r="1039" spans="1:4" x14ac:dyDescent="0.3">
      <c r="A1039" t="s">
        <v>769</v>
      </c>
      <c r="B1039">
        <v>100418</v>
      </c>
      <c r="C1039" t="s">
        <v>771</v>
      </c>
      <c r="D1039" t="s">
        <v>241</v>
      </c>
    </row>
    <row r="1040" spans="1:4" x14ac:dyDescent="0.3">
      <c r="A1040" t="s">
        <v>769</v>
      </c>
      <c r="B1040">
        <v>100418</v>
      </c>
      <c r="C1040" t="s">
        <v>772</v>
      </c>
      <c r="D1040" t="s">
        <v>243</v>
      </c>
    </row>
    <row r="1041" spans="1:4" x14ac:dyDescent="0.3">
      <c r="A1041" t="s">
        <v>769</v>
      </c>
      <c r="B1041">
        <v>100418</v>
      </c>
      <c r="C1041" t="s">
        <v>773</v>
      </c>
      <c r="D1041" t="s">
        <v>245</v>
      </c>
    </row>
    <row r="1042" spans="1:4" x14ac:dyDescent="0.3">
      <c r="A1042" t="s">
        <v>769</v>
      </c>
      <c r="B1042">
        <v>100418</v>
      </c>
      <c r="C1042" t="s">
        <v>774</v>
      </c>
      <c r="D1042" t="s">
        <v>443</v>
      </c>
    </row>
    <row r="1043" spans="1:4" x14ac:dyDescent="0.3">
      <c r="A1043" t="s">
        <v>769</v>
      </c>
      <c r="B1043">
        <v>100418</v>
      </c>
      <c r="C1043" t="s">
        <v>775</v>
      </c>
      <c r="D1043" t="s">
        <v>776</v>
      </c>
    </row>
    <row r="1044" spans="1:4" x14ac:dyDescent="0.3">
      <c r="A1044" t="s">
        <v>769</v>
      </c>
      <c r="B1044">
        <v>100418</v>
      </c>
      <c r="C1044" t="s">
        <v>777</v>
      </c>
      <c r="D1044" t="s">
        <v>778</v>
      </c>
    </row>
    <row r="1045" spans="1:4" x14ac:dyDescent="0.3">
      <c r="A1045" t="s">
        <v>779</v>
      </c>
      <c r="B1045">
        <v>100342</v>
      </c>
      <c r="C1045" t="s">
        <v>122</v>
      </c>
      <c r="D1045" t="s">
        <v>122</v>
      </c>
    </row>
    <row r="1046" spans="1:4" x14ac:dyDescent="0.3">
      <c r="A1046" t="s">
        <v>779</v>
      </c>
      <c r="B1046">
        <v>100342</v>
      </c>
      <c r="C1046" t="s">
        <v>124</v>
      </c>
      <c r="D1046" t="s">
        <v>124</v>
      </c>
    </row>
    <row r="1047" spans="1:4" x14ac:dyDescent="0.3">
      <c r="A1047" t="s">
        <v>779</v>
      </c>
      <c r="B1047">
        <v>100342</v>
      </c>
      <c r="C1047" t="s">
        <v>119</v>
      </c>
      <c r="D1047" t="s">
        <v>119</v>
      </c>
    </row>
    <row r="1048" spans="1:4" x14ac:dyDescent="0.3">
      <c r="A1048" t="s">
        <v>779</v>
      </c>
      <c r="B1048">
        <v>100342</v>
      </c>
      <c r="C1048" t="s">
        <v>123</v>
      </c>
      <c r="D1048" t="s">
        <v>123</v>
      </c>
    </row>
    <row r="1049" spans="1:4" x14ac:dyDescent="0.3">
      <c r="A1049" t="s">
        <v>780</v>
      </c>
      <c r="B1049">
        <v>100420</v>
      </c>
      <c r="C1049" t="s">
        <v>781</v>
      </c>
      <c r="D1049" t="s">
        <v>237</v>
      </c>
    </row>
    <row r="1050" spans="1:4" x14ac:dyDescent="0.3">
      <c r="A1050" t="s">
        <v>780</v>
      </c>
      <c r="B1050">
        <v>100420</v>
      </c>
      <c r="C1050" t="s">
        <v>782</v>
      </c>
      <c r="D1050" t="s">
        <v>239</v>
      </c>
    </row>
    <row r="1051" spans="1:4" x14ac:dyDescent="0.3">
      <c r="A1051" t="s">
        <v>780</v>
      </c>
      <c r="B1051">
        <v>100420</v>
      </c>
      <c r="C1051" t="s">
        <v>783</v>
      </c>
      <c r="D1051" t="s">
        <v>241</v>
      </c>
    </row>
    <row r="1052" spans="1:4" x14ac:dyDescent="0.3">
      <c r="A1052" t="s">
        <v>780</v>
      </c>
      <c r="B1052">
        <v>100420</v>
      </c>
      <c r="C1052" t="s">
        <v>784</v>
      </c>
      <c r="D1052" t="s">
        <v>243</v>
      </c>
    </row>
    <row r="1053" spans="1:4" x14ac:dyDescent="0.3">
      <c r="A1053" t="s">
        <v>780</v>
      </c>
      <c r="B1053">
        <v>100420</v>
      </c>
      <c r="C1053" t="s">
        <v>785</v>
      </c>
      <c r="D1053" t="s">
        <v>245</v>
      </c>
    </row>
    <row r="1054" spans="1:4" x14ac:dyDescent="0.3">
      <c r="A1054" t="s">
        <v>786</v>
      </c>
      <c r="B1054">
        <v>100272</v>
      </c>
      <c r="C1054" t="s">
        <v>787</v>
      </c>
      <c r="D1054" t="s">
        <v>787</v>
      </c>
    </row>
    <row r="1055" spans="1:4" x14ac:dyDescent="0.3">
      <c r="A1055" t="s">
        <v>786</v>
      </c>
      <c r="B1055">
        <v>100272</v>
      </c>
      <c r="C1055" t="s">
        <v>788</v>
      </c>
      <c r="D1055" t="s">
        <v>788</v>
      </c>
    </row>
    <row r="1056" spans="1:4" x14ac:dyDescent="0.3">
      <c r="A1056" t="s">
        <v>786</v>
      </c>
      <c r="B1056">
        <v>100272</v>
      </c>
      <c r="C1056" t="s">
        <v>789</v>
      </c>
      <c r="D1056" t="s">
        <v>789</v>
      </c>
    </row>
    <row r="1057" spans="1:4" x14ac:dyDescent="0.3">
      <c r="A1057" t="s">
        <v>790</v>
      </c>
      <c r="B1057">
        <v>100273</v>
      </c>
      <c r="C1057" t="s">
        <v>787</v>
      </c>
      <c r="D1057" t="s">
        <v>787</v>
      </c>
    </row>
    <row r="1058" spans="1:4" x14ac:dyDescent="0.3">
      <c r="A1058" t="s">
        <v>790</v>
      </c>
      <c r="B1058">
        <v>100273</v>
      </c>
      <c r="C1058" t="s">
        <v>788</v>
      </c>
      <c r="D1058" t="s">
        <v>788</v>
      </c>
    </row>
    <row r="1059" spans="1:4" x14ac:dyDescent="0.3">
      <c r="A1059" t="s">
        <v>790</v>
      </c>
      <c r="B1059">
        <v>100273</v>
      </c>
      <c r="C1059" t="s">
        <v>789</v>
      </c>
      <c r="D1059" t="s">
        <v>789</v>
      </c>
    </row>
    <row r="1060" spans="1:4" x14ac:dyDescent="0.3">
      <c r="A1060" t="s">
        <v>790</v>
      </c>
      <c r="B1060">
        <v>100273</v>
      </c>
      <c r="C1060" t="s">
        <v>590</v>
      </c>
      <c r="D1060" t="s">
        <v>590</v>
      </c>
    </row>
    <row r="1061" spans="1:4" x14ac:dyDescent="0.3">
      <c r="A1061" t="s">
        <v>724</v>
      </c>
      <c r="B1061">
        <v>100343</v>
      </c>
      <c r="C1061" t="s">
        <v>122</v>
      </c>
      <c r="D1061" t="s">
        <v>122</v>
      </c>
    </row>
    <row r="1062" spans="1:4" x14ac:dyDescent="0.3">
      <c r="A1062" t="s">
        <v>724</v>
      </c>
      <c r="B1062">
        <v>100343</v>
      </c>
      <c r="C1062" t="s">
        <v>124</v>
      </c>
      <c r="D1062" t="s">
        <v>124</v>
      </c>
    </row>
    <row r="1063" spans="1:4" x14ac:dyDescent="0.3">
      <c r="A1063" t="s">
        <v>724</v>
      </c>
      <c r="B1063">
        <v>100343</v>
      </c>
      <c r="C1063" t="s">
        <v>119</v>
      </c>
      <c r="D1063" t="s">
        <v>119</v>
      </c>
    </row>
    <row r="1064" spans="1:4" x14ac:dyDescent="0.3">
      <c r="A1064" t="s">
        <v>724</v>
      </c>
      <c r="B1064">
        <v>100343</v>
      </c>
      <c r="C1064" t="s">
        <v>123</v>
      </c>
      <c r="D1064" t="s">
        <v>123</v>
      </c>
    </row>
    <row r="1065" spans="1:4" x14ac:dyDescent="0.3">
      <c r="A1065" t="s">
        <v>234</v>
      </c>
      <c r="B1065">
        <v>100323</v>
      </c>
      <c r="C1065" t="s">
        <v>791</v>
      </c>
      <c r="D1065" t="s">
        <v>791</v>
      </c>
    </row>
    <row r="1066" spans="1:4" x14ac:dyDescent="0.3">
      <c r="A1066" t="s">
        <v>593</v>
      </c>
      <c r="B1066">
        <v>100061</v>
      </c>
      <c r="C1066" t="s">
        <v>792</v>
      </c>
      <c r="D1066" t="s">
        <v>792</v>
      </c>
    </row>
    <row r="1067" spans="1:4" x14ac:dyDescent="0.3">
      <c r="A1067" t="s">
        <v>593</v>
      </c>
      <c r="B1067">
        <v>100061</v>
      </c>
      <c r="C1067" t="s">
        <v>602</v>
      </c>
      <c r="D1067" t="s">
        <v>602</v>
      </c>
    </row>
    <row r="1068" spans="1:4" x14ac:dyDescent="0.3">
      <c r="A1068" t="s">
        <v>593</v>
      </c>
      <c r="B1068">
        <v>100061</v>
      </c>
      <c r="C1068" t="s">
        <v>206</v>
      </c>
      <c r="D1068" t="s">
        <v>206</v>
      </c>
    </row>
    <row r="1069" spans="1:4" x14ac:dyDescent="0.3">
      <c r="A1069" t="s">
        <v>593</v>
      </c>
      <c r="B1069">
        <v>100061</v>
      </c>
      <c r="C1069" t="s">
        <v>205</v>
      </c>
      <c r="D1069" t="s">
        <v>205</v>
      </c>
    </row>
    <row r="1070" spans="1:4" x14ac:dyDescent="0.3">
      <c r="A1070" t="s">
        <v>741</v>
      </c>
      <c r="B1070">
        <v>100144</v>
      </c>
      <c r="C1070" t="s">
        <v>793</v>
      </c>
      <c r="D1070" t="s">
        <v>793</v>
      </c>
    </row>
    <row r="1071" spans="1:4" x14ac:dyDescent="0.3">
      <c r="A1071" t="s">
        <v>794</v>
      </c>
      <c r="B1071">
        <v>100344</v>
      </c>
      <c r="C1071" t="s">
        <v>119</v>
      </c>
      <c r="D1071" t="s">
        <v>119</v>
      </c>
    </row>
    <row r="1072" spans="1:4" x14ac:dyDescent="0.3">
      <c r="A1072" t="s">
        <v>794</v>
      </c>
      <c r="B1072">
        <v>100344</v>
      </c>
      <c r="C1072" t="s">
        <v>124</v>
      </c>
      <c r="D1072" t="s">
        <v>124</v>
      </c>
    </row>
    <row r="1073" spans="1:4" x14ac:dyDescent="0.3">
      <c r="A1073" t="s">
        <v>794</v>
      </c>
      <c r="B1073">
        <v>100344</v>
      </c>
      <c r="C1073" t="s">
        <v>122</v>
      </c>
      <c r="D1073" t="s">
        <v>122</v>
      </c>
    </row>
    <row r="1074" spans="1:4" x14ac:dyDescent="0.3">
      <c r="A1074" t="s">
        <v>794</v>
      </c>
      <c r="B1074">
        <v>100344</v>
      </c>
      <c r="C1074" t="s">
        <v>702</v>
      </c>
      <c r="D1074" t="s">
        <v>702</v>
      </c>
    </row>
    <row r="1075" spans="1:4" x14ac:dyDescent="0.3">
      <c r="A1075" t="s">
        <v>266</v>
      </c>
      <c r="B1075">
        <v>100274</v>
      </c>
      <c r="C1075" t="s">
        <v>181</v>
      </c>
      <c r="D1075" t="s">
        <v>181</v>
      </c>
    </row>
    <row r="1076" spans="1:4" x14ac:dyDescent="0.3">
      <c r="A1076" t="s">
        <v>266</v>
      </c>
      <c r="B1076">
        <v>100274</v>
      </c>
      <c r="C1076" t="s">
        <v>182</v>
      </c>
      <c r="D1076" t="s">
        <v>182</v>
      </c>
    </row>
    <row r="1077" spans="1:4" x14ac:dyDescent="0.3">
      <c r="A1077" t="s">
        <v>266</v>
      </c>
      <c r="B1077">
        <v>100274</v>
      </c>
      <c r="C1077" t="s">
        <v>795</v>
      </c>
      <c r="D1077" t="s">
        <v>795</v>
      </c>
    </row>
    <row r="1078" spans="1:4" x14ac:dyDescent="0.3">
      <c r="A1078" t="s">
        <v>266</v>
      </c>
      <c r="B1078">
        <v>100274</v>
      </c>
      <c r="C1078" t="s">
        <v>275</v>
      </c>
      <c r="D1078" t="s">
        <v>275</v>
      </c>
    </row>
    <row r="1079" spans="1:4" x14ac:dyDescent="0.3">
      <c r="A1079" t="s">
        <v>266</v>
      </c>
      <c r="B1079">
        <v>100274</v>
      </c>
      <c r="C1079" t="s">
        <v>796</v>
      </c>
      <c r="D1079" t="s">
        <v>796</v>
      </c>
    </row>
    <row r="1080" spans="1:4" x14ac:dyDescent="0.3">
      <c r="A1080" t="s">
        <v>266</v>
      </c>
      <c r="B1080">
        <v>100274</v>
      </c>
      <c r="C1080" t="s">
        <v>183</v>
      </c>
      <c r="D1080" t="s">
        <v>183</v>
      </c>
    </row>
    <row r="1081" spans="1:4" x14ac:dyDescent="0.3">
      <c r="A1081" t="s">
        <v>797</v>
      </c>
      <c r="B1081">
        <v>100276</v>
      </c>
      <c r="C1081" t="s">
        <v>798</v>
      </c>
      <c r="D1081" t="s">
        <v>798</v>
      </c>
    </row>
    <row r="1082" spans="1:4" x14ac:dyDescent="0.3">
      <c r="A1082" t="s">
        <v>797</v>
      </c>
      <c r="B1082">
        <v>100276</v>
      </c>
      <c r="C1082" t="s">
        <v>799</v>
      </c>
      <c r="D1082" t="s">
        <v>799</v>
      </c>
    </row>
    <row r="1083" spans="1:4" x14ac:dyDescent="0.3">
      <c r="A1083" t="s">
        <v>797</v>
      </c>
      <c r="B1083">
        <v>100276</v>
      </c>
      <c r="C1083" t="s">
        <v>800</v>
      </c>
      <c r="D1083" t="s">
        <v>800</v>
      </c>
    </row>
    <row r="1084" spans="1:4" x14ac:dyDescent="0.3">
      <c r="A1084" t="s">
        <v>797</v>
      </c>
      <c r="B1084">
        <v>100276</v>
      </c>
      <c r="C1084" t="s">
        <v>152</v>
      </c>
      <c r="D1084" t="s">
        <v>152</v>
      </c>
    </row>
    <row r="1085" spans="1:4" x14ac:dyDescent="0.3">
      <c r="A1085" t="s">
        <v>797</v>
      </c>
      <c r="B1085">
        <v>100276</v>
      </c>
      <c r="C1085" t="s">
        <v>194</v>
      </c>
      <c r="D1085" t="s">
        <v>194</v>
      </c>
    </row>
    <row r="1086" spans="1:4" x14ac:dyDescent="0.3">
      <c r="A1086" t="s">
        <v>801</v>
      </c>
      <c r="B1086">
        <v>100277</v>
      </c>
      <c r="C1086" t="s">
        <v>802</v>
      </c>
      <c r="D1086" t="s">
        <v>802</v>
      </c>
    </row>
    <row r="1087" spans="1:4" x14ac:dyDescent="0.3">
      <c r="A1087" t="s">
        <v>801</v>
      </c>
      <c r="B1087">
        <v>100277</v>
      </c>
      <c r="C1087" t="s">
        <v>803</v>
      </c>
      <c r="D1087" t="s">
        <v>803</v>
      </c>
    </row>
    <row r="1088" spans="1:4" x14ac:dyDescent="0.3">
      <c r="A1088" t="s">
        <v>801</v>
      </c>
      <c r="B1088">
        <v>100277</v>
      </c>
      <c r="C1088" t="s">
        <v>804</v>
      </c>
      <c r="D1088" t="s">
        <v>804</v>
      </c>
    </row>
    <row r="1089" spans="1:4" x14ac:dyDescent="0.3">
      <c r="A1089" t="s">
        <v>801</v>
      </c>
      <c r="B1089">
        <v>100277</v>
      </c>
      <c r="C1089" t="s">
        <v>152</v>
      </c>
      <c r="D1089" t="s">
        <v>152</v>
      </c>
    </row>
    <row r="1090" spans="1:4" x14ac:dyDescent="0.3">
      <c r="A1090" t="s">
        <v>801</v>
      </c>
      <c r="B1090">
        <v>100277</v>
      </c>
      <c r="C1090" t="s">
        <v>194</v>
      </c>
      <c r="D1090" t="s">
        <v>194</v>
      </c>
    </row>
    <row r="1091" spans="1:4" x14ac:dyDescent="0.3">
      <c r="A1091" t="s">
        <v>805</v>
      </c>
      <c r="B1091">
        <v>100284</v>
      </c>
      <c r="C1091" t="s">
        <v>122</v>
      </c>
      <c r="D1091" t="s">
        <v>122</v>
      </c>
    </row>
    <row r="1092" spans="1:4" x14ac:dyDescent="0.3">
      <c r="A1092" t="s">
        <v>805</v>
      </c>
      <c r="B1092">
        <v>100284</v>
      </c>
      <c r="C1092" t="s">
        <v>124</v>
      </c>
      <c r="D1092" t="s">
        <v>124</v>
      </c>
    </row>
    <row r="1093" spans="1:4" x14ac:dyDescent="0.3">
      <c r="A1093" t="s">
        <v>805</v>
      </c>
      <c r="B1093">
        <v>100284</v>
      </c>
      <c r="C1093" t="s">
        <v>119</v>
      </c>
      <c r="D1093" t="s">
        <v>119</v>
      </c>
    </row>
    <row r="1094" spans="1:4" x14ac:dyDescent="0.3">
      <c r="A1094" t="s">
        <v>805</v>
      </c>
      <c r="B1094">
        <v>100284</v>
      </c>
      <c r="C1094" t="s">
        <v>194</v>
      </c>
      <c r="D1094" t="s">
        <v>194</v>
      </c>
    </row>
    <row r="1095" spans="1:4" x14ac:dyDescent="0.3">
      <c r="A1095" t="s">
        <v>806</v>
      </c>
      <c r="B1095">
        <v>100817</v>
      </c>
      <c r="C1095" t="s">
        <v>807</v>
      </c>
      <c r="D1095" t="s">
        <v>807</v>
      </c>
    </row>
    <row r="1096" spans="1:4" x14ac:dyDescent="0.3">
      <c r="A1096" t="s">
        <v>806</v>
      </c>
      <c r="B1096">
        <v>100817</v>
      </c>
      <c r="C1096" t="s">
        <v>808</v>
      </c>
      <c r="D1096" t="s">
        <v>808</v>
      </c>
    </row>
    <row r="1097" spans="1:4" x14ac:dyDescent="0.3">
      <c r="A1097" t="s">
        <v>806</v>
      </c>
      <c r="B1097">
        <v>100817</v>
      </c>
      <c r="C1097" t="s">
        <v>809</v>
      </c>
      <c r="D1097" t="s">
        <v>809</v>
      </c>
    </row>
    <row r="1098" spans="1:4" x14ac:dyDescent="0.3">
      <c r="A1098" t="s">
        <v>806</v>
      </c>
      <c r="B1098">
        <v>100817</v>
      </c>
      <c r="C1098" t="s">
        <v>810</v>
      </c>
      <c r="D1098" t="s">
        <v>810</v>
      </c>
    </row>
    <row r="1099" spans="1:4" x14ac:dyDescent="0.3">
      <c r="A1099" t="s">
        <v>806</v>
      </c>
      <c r="B1099">
        <v>100817</v>
      </c>
      <c r="C1099" t="s">
        <v>811</v>
      </c>
      <c r="D1099" t="s">
        <v>811</v>
      </c>
    </row>
    <row r="1100" spans="1:4" x14ac:dyDescent="0.3">
      <c r="A1100" t="s">
        <v>806</v>
      </c>
      <c r="B1100">
        <v>100817</v>
      </c>
      <c r="C1100" t="s">
        <v>812</v>
      </c>
      <c r="D1100" t="s">
        <v>812</v>
      </c>
    </row>
    <row r="1101" spans="1:4" x14ac:dyDescent="0.3">
      <c r="A1101" t="s">
        <v>806</v>
      </c>
      <c r="B1101">
        <v>100817</v>
      </c>
      <c r="C1101" t="s">
        <v>152</v>
      </c>
      <c r="D1101" t="s">
        <v>152</v>
      </c>
    </row>
    <row r="1102" spans="1:4" x14ac:dyDescent="0.3">
      <c r="A1102" t="s">
        <v>813</v>
      </c>
      <c r="B1102">
        <v>100430</v>
      </c>
      <c r="C1102" t="s">
        <v>814</v>
      </c>
      <c r="D1102" t="s">
        <v>237</v>
      </c>
    </row>
    <row r="1103" spans="1:4" x14ac:dyDescent="0.3">
      <c r="A1103" t="s">
        <v>813</v>
      </c>
      <c r="B1103">
        <v>100430</v>
      </c>
      <c r="C1103" t="s">
        <v>815</v>
      </c>
      <c r="D1103" t="s">
        <v>239</v>
      </c>
    </row>
    <row r="1104" spans="1:4" x14ac:dyDescent="0.3">
      <c r="A1104" t="s">
        <v>813</v>
      </c>
      <c r="B1104">
        <v>100430</v>
      </c>
      <c r="C1104" t="s">
        <v>816</v>
      </c>
      <c r="D1104" t="s">
        <v>241</v>
      </c>
    </row>
    <row r="1105" spans="1:4" x14ac:dyDescent="0.3">
      <c r="A1105" t="s">
        <v>813</v>
      </c>
      <c r="B1105">
        <v>100430</v>
      </c>
      <c r="C1105" t="s">
        <v>817</v>
      </c>
      <c r="D1105" t="s">
        <v>243</v>
      </c>
    </row>
    <row r="1106" spans="1:4" x14ac:dyDescent="0.3">
      <c r="A1106" t="s">
        <v>813</v>
      </c>
      <c r="B1106">
        <v>100430</v>
      </c>
      <c r="C1106" t="s">
        <v>818</v>
      </c>
      <c r="D1106" t="s">
        <v>245</v>
      </c>
    </row>
    <row r="1107" spans="1:4" x14ac:dyDescent="0.3">
      <c r="A1107" t="s">
        <v>813</v>
      </c>
      <c r="B1107">
        <v>100430</v>
      </c>
      <c r="C1107" t="s">
        <v>819</v>
      </c>
      <c r="D1107" t="s">
        <v>443</v>
      </c>
    </row>
    <row r="1108" spans="1:4" x14ac:dyDescent="0.3">
      <c r="A1108" t="s">
        <v>820</v>
      </c>
      <c r="B1108">
        <v>100431</v>
      </c>
      <c r="C1108" t="s">
        <v>814</v>
      </c>
      <c r="D1108" t="s">
        <v>237</v>
      </c>
    </row>
    <row r="1109" spans="1:4" x14ac:dyDescent="0.3">
      <c r="A1109" t="s">
        <v>820</v>
      </c>
      <c r="B1109">
        <v>100431</v>
      </c>
      <c r="C1109" t="s">
        <v>815</v>
      </c>
      <c r="D1109" t="s">
        <v>239</v>
      </c>
    </row>
    <row r="1110" spans="1:4" x14ac:dyDescent="0.3">
      <c r="A1110" t="s">
        <v>820</v>
      </c>
      <c r="B1110">
        <v>100431</v>
      </c>
      <c r="C1110" t="s">
        <v>816</v>
      </c>
      <c r="D1110" t="s">
        <v>241</v>
      </c>
    </row>
    <row r="1111" spans="1:4" x14ac:dyDescent="0.3">
      <c r="A1111" t="s">
        <v>820</v>
      </c>
      <c r="B1111">
        <v>100431</v>
      </c>
      <c r="C1111" t="s">
        <v>817</v>
      </c>
      <c r="D1111" t="s">
        <v>243</v>
      </c>
    </row>
    <row r="1112" spans="1:4" x14ac:dyDescent="0.3">
      <c r="A1112" t="s">
        <v>820</v>
      </c>
      <c r="B1112">
        <v>100431</v>
      </c>
      <c r="C1112" t="s">
        <v>818</v>
      </c>
      <c r="D1112" t="s">
        <v>245</v>
      </c>
    </row>
    <row r="1113" spans="1:4" x14ac:dyDescent="0.3">
      <c r="A1113" t="s">
        <v>820</v>
      </c>
      <c r="B1113">
        <v>100431</v>
      </c>
      <c r="C1113" t="s">
        <v>819</v>
      </c>
      <c r="D1113" t="s">
        <v>443</v>
      </c>
    </row>
    <row r="1114" spans="1:4" x14ac:dyDescent="0.3">
      <c r="A1114" t="s">
        <v>821</v>
      </c>
      <c r="B1114">
        <v>100437</v>
      </c>
      <c r="C1114" t="s">
        <v>822</v>
      </c>
      <c r="D1114" t="s">
        <v>237</v>
      </c>
    </row>
    <row r="1115" spans="1:4" x14ac:dyDescent="0.3">
      <c r="A1115" t="s">
        <v>821</v>
      </c>
      <c r="B1115">
        <v>100437</v>
      </c>
      <c r="C1115" t="s">
        <v>823</v>
      </c>
      <c r="D1115" t="s">
        <v>239</v>
      </c>
    </row>
    <row r="1116" spans="1:4" x14ac:dyDescent="0.3">
      <c r="A1116" t="s">
        <v>821</v>
      </c>
      <c r="B1116">
        <v>100437</v>
      </c>
      <c r="C1116" t="s">
        <v>824</v>
      </c>
      <c r="D1116" t="s">
        <v>241</v>
      </c>
    </row>
    <row r="1117" spans="1:4" x14ac:dyDescent="0.3">
      <c r="A1117" t="s">
        <v>821</v>
      </c>
      <c r="B1117">
        <v>100437</v>
      </c>
      <c r="C1117" t="s">
        <v>825</v>
      </c>
      <c r="D1117" t="s">
        <v>243</v>
      </c>
    </row>
    <row r="1118" spans="1:4" x14ac:dyDescent="0.3">
      <c r="A1118" t="s">
        <v>821</v>
      </c>
      <c r="B1118">
        <v>100437</v>
      </c>
      <c r="C1118" t="s">
        <v>826</v>
      </c>
      <c r="D1118" t="s">
        <v>245</v>
      </c>
    </row>
    <row r="1119" spans="1:4" x14ac:dyDescent="0.3">
      <c r="A1119" t="s">
        <v>821</v>
      </c>
      <c r="B1119">
        <v>100437</v>
      </c>
      <c r="C1119" t="s">
        <v>827</v>
      </c>
      <c r="D1119" t="s">
        <v>443</v>
      </c>
    </row>
    <row r="1120" spans="1:4" x14ac:dyDescent="0.3">
      <c r="A1120" t="s">
        <v>828</v>
      </c>
      <c r="B1120">
        <v>100438</v>
      </c>
      <c r="C1120" t="s">
        <v>822</v>
      </c>
      <c r="D1120" t="s">
        <v>237</v>
      </c>
    </row>
    <row r="1121" spans="1:4" x14ac:dyDescent="0.3">
      <c r="A1121" t="s">
        <v>828</v>
      </c>
      <c r="B1121">
        <v>100438</v>
      </c>
      <c r="C1121" t="s">
        <v>823</v>
      </c>
      <c r="D1121" t="s">
        <v>239</v>
      </c>
    </row>
    <row r="1122" spans="1:4" x14ac:dyDescent="0.3">
      <c r="A1122" t="s">
        <v>828</v>
      </c>
      <c r="B1122">
        <v>100438</v>
      </c>
      <c r="C1122" t="s">
        <v>824</v>
      </c>
      <c r="D1122" t="s">
        <v>241</v>
      </c>
    </row>
    <row r="1123" spans="1:4" x14ac:dyDescent="0.3">
      <c r="A1123" t="s">
        <v>828</v>
      </c>
      <c r="B1123">
        <v>100438</v>
      </c>
      <c r="C1123" t="s">
        <v>825</v>
      </c>
      <c r="D1123" t="s">
        <v>243</v>
      </c>
    </row>
    <row r="1124" spans="1:4" x14ac:dyDescent="0.3">
      <c r="A1124" t="s">
        <v>828</v>
      </c>
      <c r="B1124">
        <v>100438</v>
      </c>
      <c r="C1124" t="s">
        <v>826</v>
      </c>
      <c r="D1124" t="s">
        <v>245</v>
      </c>
    </row>
    <row r="1125" spans="1:4" x14ac:dyDescent="0.3">
      <c r="A1125" t="s">
        <v>828</v>
      </c>
      <c r="B1125">
        <v>100438</v>
      </c>
      <c r="C1125" t="s">
        <v>827</v>
      </c>
      <c r="D1125" t="s">
        <v>443</v>
      </c>
    </row>
    <row r="1126" spans="1:4" x14ac:dyDescent="0.3">
      <c r="A1126" t="s">
        <v>829</v>
      </c>
      <c r="B1126">
        <v>100444</v>
      </c>
      <c r="C1126" t="s">
        <v>830</v>
      </c>
      <c r="D1126" t="s">
        <v>237</v>
      </c>
    </row>
    <row r="1127" spans="1:4" x14ac:dyDescent="0.3">
      <c r="A1127" t="s">
        <v>829</v>
      </c>
      <c r="B1127">
        <v>100444</v>
      </c>
      <c r="C1127" t="s">
        <v>831</v>
      </c>
      <c r="D1127" t="s">
        <v>239</v>
      </c>
    </row>
    <row r="1128" spans="1:4" x14ac:dyDescent="0.3">
      <c r="A1128" t="s">
        <v>829</v>
      </c>
      <c r="B1128">
        <v>100444</v>
      </c>
      <c r="C1128" t="s">
        <v>832</v>
      </c>
      <c r="D1128" t="s">
        <v>241</v>
      </c>
    </row>
    <row r="1129" spans="1:4" x14ac:dyDescent="0.3">
      <c r="A1129" t="s">
        <v>829</v>
      </c>
      <c r="B1129">
        <v>100444</v>
      </c>
      <c r="C1129" t="s">
        <v>833</v>
      </c>
      <c r="D1129" t="s">
        <v>243</v>
      </c>
    </row>
    <row r="1130" spans="1:4" x14ac:dyDescent="0.3">
      <c r="A1130" t="s">
        <v>829</v>
      </c>
      <c r="B1130">
        <v>100444</v>
      </c>
      <c r="C1130" t="s">
        <v>834</v>
      </c>
      <c r="D1130" t="s">
        <v>245</v>
      </c>
    </row>
    <row r="1131" spans="1:4" x14ac:dyDescent="0.3">
      <c r="A1131" t="s">
        <v>829</v>
      </c>
      <c r="B1131">
        <v>100444</v>
      </c>
      <c r="C1131" t="s">
        <v>835</v>
      </c>
      <c r="D1131" t="s">
        <v>443</v>
      </c>
    </row>
    <row r="1132" spans="1:4" x14ac:dyDescent="0.3">
      <c r="A1132" t="s">
        <v>836</v>
      </c>
      <c r="B1132">
        <v>100445</v>
      </c>
      <c r="C1132" t="s">
        <v>830</v>
      </c>
      <c r="D1132" t="s">
        <v>237</v>
      </c>
    </row>
    <row r="1133" spans="1:4" x14ac:dyDescent="0.3">
      <c r="A1133" t="s">
        <v>836</v>
      </c>
      <c r="B1133">
        <v>100445</v>
      </c>
      <c r="C1133" t="s">
        <v>831</v>
      </c>
      <c r="D1133" t="s">
        <v>239</v>
      </c>
    </row>
    <row r="1134" spans="1:4" x14ac:dyDescent="0.3">
      <c r="A1134" t="s">
        <v>836</v>
      </c>
      <c r="B1134">
        <v>100445</v>
      </c>
      <c r="C1134" t="s">
        <v>832</v>
      </c>
      <c r="D1134" t="s">
        <v>241</v>
      </c>
    </row>
    <row r="1135" spans="1:4" x14ac:dyDescent="0.3">
      <c r="A1135" t="s">
        <v>836</v>
      </c>
      <c r="B1135">
        <v>100445</v>
      </c>
      <c r="C1135" t="s">
        <v>833</v>
      </c>
      <c r="D1135" t="s">
        <v>243</v>
      </c>
    </row>
    <row r="1136" spans="1:4" x14ac:dyDescent="0.3">
      <c r="A1136" t="s">
        <v>836</v>
      </c>
      <c r="B1136">
        <v>100445</v>
      </c>
      <c r="C1136" t="s">
        <v>834</v>
      </c>
      <c r="D1136" t="s">
        <v>245</v>
      </c>
    </row>
    <row r="1137" spans="1:4" x14ac:dyDescent="0.3">
      <c r="A1137" t="s">
        <v>836</v>
      </c>
      <c r="B1137">
        <v>100445</v>
      </c>
      <c r="C1137" t="s">
        <v>835</v>
      </c>
      <c r="D1137" t="s">
        <v>443</v>
      </c>
    </row>
    <row r="1138" spans="1:4" x14ac:dyDescent="0.3">
      <c r="A1138" t="s">
        <v>837</v>
      </c>
      <c r="B1138">
        <v>100451</v>
      </c>
      <c r="C1138" t="s">
        <v>838</v>
      </c>
      <c r="D1138" t="s">
        <v>237</v>
      </c>
    </row>
    <row r="1139" spans="1:4" x14ac:dyDescent="0.3">
      <c r="A1139" t="s">
        <v>837</v>
      </c>
      <c r="B1139">
        <v>100451</v>
      </c>
      <c r="C1139" t="s">
        <v>839</v>
      </c>
      <c r="D1139" t="s">
        <v>239</v>
      </c>
    </row>
    <row r="1140" spans="1:4" x14ac:dyDescent="0.3">
      <c r="A1140" t="s">
        <v>837</v>
      </c>
      <c r="B1140">
        <v>100451</v>
      </c>
      <c r="C1140" t="s">
        <v>840</v>
      </c>
      <c r="D1140" t="s">
        <v>241</v>
      </c>
    </row>
    <row r="1141" spans="1:4" x14ac:dyDescent="0.3">
      <c r="A1141" t="s">
        <v>837</v>
      </c>
      <c r="B1141">
        <v>100451</v>
      </c>
      <c r="C1141" t="s">
        <v>841</v>
      </c>
      <c r="D1141" t="s">
        <v>243</v>
      </c>
    </row>
    <row r="1142" spans="1:4" x14ac:dyDescent="0.3">
      <c r="A1142" t="s">
        <v>837</v>
      </c>
      <c r="B1142">
        <v>100451</v>
      </c>
      <c r="C1142" t="s">
        <v>842</v>
      </c>
      <c r="D1142" t="s">
        <v>245</v>
      </c>
    </row>
    <row r="1143" spans="1:4" x14ac:dyDescent="0.3">
      <c r="A1143" t="s">
        <v>837</v>
      </c>
      <c r="B1143">
        <v>100451</v>
      </c>
      <c r="C1143" t="s">
        <v>843</v>
      </c>
      <c r="D1143" t="s">
        <v>443</v>
      </c>
    </row>
    <row r="1144" spans="1:4" x14ac:dyDescent="0.3">
      <c r="A1144" t="s">
        <v>844</v>
      </c>
      <c r="B1144">
        <v>100452</v>
      </c>
      <c r="C1144" t="s">
        <v>838</v>
      </c>
      <c r="D1144" t="s">
        <v>237</v>
      </c>
    </row>
    <row r="1145" spans="1:4" x14ac:dyDescent="0.3">
      <c r="A1145" t="s">
        <v>844</v>
      </c>
      <c r="B1145">
        <v>100452</v>
      </c>
      <c r="C1145" t="s">
        <v>839</v>
      </c>
      <c r="D1145" t="s">
        <v>239</v>
      </c>
    </row>
    <row r="1146" spans="1:4" x14ac:dyDescent="0.3">
      <c r="A1146" t="s">
        <v>844</v>
      </c>
      <c r="B1146">
        <v>100452</v>
      </c>
      <c r="C1146" t="s">
        <v>840</v>
      </c>
      <c r="D1146" t="s">
        <v>241</v>
      </c>
    </row>
    <row r="1147" spans="1:4" x14ac:dyDescent="0.3">
      <c r="A1147" t="s">
        <v>844</v>
      </c>
      <c r="B1147">
        <v>100452</v>
      </c>
      <c r="C1147" t="s">
        <v>841</v>
      </c>
      <c r="D1147" t="s">
        <v>243</v>
      </c>
    </row>
    <row r="1148" spans="1:4" x14ac:dyDescent="0.3">
      <c r="A1148" t="s">
        <v>844</v>
      </c>
      <c r="B1148">
        <v>100452</v>
      </c>
      <c r="C1148" t="s">
        <v>842</v>
      </c>
      <c r="D1148" t="s">
        <v>245</v>
      </c>
    </row>
    <row r="1149" spans="1:4" x14ac:dyDescent="0.3">
      <c r="A1149" t="s">
        <v>844</v>
      </c>
      <c r="B1149">
        <v>100452</v>
      </c>
      <c r="C1149" t="s">
        <v>843</v>
      </c>
      <c r="D1149" t="s">
        <v>443</v>
      </c>
    </row>
    <row r="1150" spans="1:4" x14ac:dyDescent="0.3">
      <c r="A1150" t="s">
        <v>845</v>
      </c>
      <c r="B1150">
        <v>100458</v>
      </c>
      <c r="C1150" t="s">
        <v>846</v>
      </c>
      <c r="D1150" t="s">
        <v>237</v>
      </c>
    </row>
    <row r="1151" spans="1:4" x14ac:dyDescent="0.3">
      <c r="A1151" t="s">
        <v>845</v>
      </c>
      <c r="B1151">
        <v>100458</v>
      </c>
      <c r="C1151" t="s">
        <v>847</v>
      </c>
      <c r="D1151" t="s">
        <v>239</v>
      </c>
    </row>
    <row r="1152" spans="1:4" x14ac:dyDescent="0.3">
      <c r="A1152" t="s">
        <v>845</v>
      </c>
      <c r="B1152">
        <v>100458</v>
      </c>
      <c r="C1152" t="s">
        <v>848</v>
      </c>
      <c r="D1152" t="s">
        <v>241</v>
      </c>
    </row>
    <row r="1153" spans="1:4" x14ac:dyDescent="0.3">
      <c r="A1153" t="s">
        <v>845</v>
      </c>
      <c r="B1153">
        <v>100458</v>
      </c>
      <c r="C1153" t="s">
        <v>849</v>
      </c>
      <c r="D1153" t="s">
        <v>243</v>
      </c>
    </row>
    <row r="1154" spans="1:4" x14ac:dyDescent="0.3">
      <c r="A1154" t="s">
        <v>845</v>
      </c>
      <c r="B1154">
        <v>100458</v>
      </c>
      <c r="C1154" t="s">
        <v>850</v>
      </c>
      <c r="D1154" t="s">
        <v>245</v>
      </c>
    </row>
    <row r="1155" spans="1:4" x14ac:dyDescent="0.3">
      <c r="A1155" t="s">
        <v>845</v>
      </c>
      <c r="B1155">
        <v>100458</v>
      </c>
      <c r="C1155" t="s">
        <v>851</v>
      </c>
      <c r="D1155" t="s">
        <v>443</v>
      </c>
    </row>
    <row r="1156" spans="1:4" x14ac:dyDescent="0.3">
      <c r="A1156" t="s">
        <v>852</v>
      </c>
      <c r="B1156">
        <v>100459</v>
      </c>
      <c r="C1156" t="s">
        <v>846</v>
      </c>
      <c r="D1156" t="s">
        <v>237</v>
      </c>
    </row>
    <row r="1157" spans="1:4" x14ac:dyDescent="0.3">
      <c r="A1157" t="s">
        <v>852</v>
      </c>
      <c r="B1157">
        <v>100459</v>
      </c>
      <c r="C1157" t="s">
        <v>847</v>
      </c>
      <c r="D1157" t="s">
        <v>239</v>
      </c>
    </row>
    <row r="1158" spans="1:4" x14ac:dyDescent="0.3">
      <c r="A1158" t="s">
        <v>852</v>
      </c>
      <c r="B1158">
        <v>100459</v>
      </c>
      <c r="C1158" t="s">
        <v>848</v>
      </c>
      <c r="D1158" t="s">
        <v>241</v>
      </c>
    </row>
    <row r="1159" spans="1:4" x14ac:dyDescent="0.3">
      <c r="A1159" t="s">
        <v>852</v>
      </c>
      <c r="B1159">
        <v>100459</v>
      </c>
      <c r="C1159" t="s">
        <v>849</v>
      </c>
      <c r="D1159" t="s">
        <v>243</v>
      </c>
    </row>
    <row r="1160" spans="1:4" x14ac:dyDescent="0.3">
      <c r="A1160" t="s">
        <v>852</v>
      </c>
      <c r="B1160">
        <v>100459</v>
      </c>
      <c r="C1160" t="s">
        <v>850</v>
      </c>
      <c r="D1160" t="s">
        <v>245</v>
      </c>
    </row>
    <row r="1161" spans="1:4" x14ac:dyDescent="0.3">
      <c r="A1161" t="s">
        <v>852</v>
      </c>
      <c r="B1161">
        <v>100459</v>
      </c>
      <c r="C1161" t="s">
        <v>851</v>
      </c>
      <c r="D1161" t="s">
        <v>443</v>
      </c>
    </row>
    <row r="1162" spans="1:4" x14ac:dyDescent="0.3">
      <c r="A1162" t="s">
        <v>853</v>
      </c>
      <c r="B1162">
        <v>100465</v>
      </c>
      <c r="C1162" t="s">
        <v>854</v>
      </c>
      <c r="D1162" t="s">
        <v>237</v>
      </c>
    </row>
    <row r="1163" spans="1:4" x14ac:dyDescent="0.3">
      <c r="A1163" t="s">
        <v>853</v>
      </c>
      <c r="B1163">
        <v>100465</v>
      </c>
      <c r="C1163" t="s">
        <v>855</v>
      </c>
      <c r="D1163" t="s">
        <v>239</v>
      </c>
    </row>
    <row r="1164" spans="1:4" x14ac:dyDescent="0.3">
      <c r="A1164" t="s">
        <v>853</v>
      </c>
      <c r="B1164">
        <v>100465</v>
      </c>
      <c r="C1164" t="s">
        <v>856</v>
      </c>
      <c r="D1164" t="s">
        <v>241</v>
      </c>
    </row>
    <row r="1165" spans="1:4" x14ac:dyDescent="0.3">
      <c r="A1165" t="s">
        <v>853</v>
      </c>
      <c r="B1165">
        <v>100465</v>
      </c>
      <c r="C1165" t="s">
        <v>857</v>
      </c>
      <c r="D1165" t="s">
        <v>243</v>
      </c>
    </row>
    <row r="1166" spans="1:4" x14ac:dyDescent="0.3">
      <c r="A1166" t="s">
        <v>853</v>
      </c>
      <c r="B1166">
        <v>100465</v>
      </c>
      <c r="C1166" t="s">
        <v>858</v>
      </c>
      <c r="D1166" t="s">
        <v>245</v>
      </c>
    </row>
    <row r="1167" spans="1:4" x14ac:dyDescent="0.3">
      <c r="A1167" t="s">
        <v>853</v>
      </c>
      <c r="B1167">
        <v>100465</v>
      </c>
      <c r="C1167" t="s">
        <v>859</v>
      </c>
      <c r="D1167" t="s">
        <v>443</v>
      </c>
    </row>
    <row r="1168" spans="1:4" x14ac:dyDescent="0.3">
      <c r="A1168" t="s">
        <v>860</v>
      </c>
      <c r="B1168">
        <v>100466</v>
      </c>
      <c r="C1168" t="s">
        <v>854</v>
      </c>
      <c r="D1168" t="s">
        <v>237</v>
      </c>
    </row>
    <row r="1169" spans="1:4" x14ac:dyDescent="0.3">
      <c r="A1169" t="s">
        <v>860</v>
      </c>
      <c r="B1169">
        <v>100466</v>
      </c>
      <c r="C1169" t="s">
        <v>855</v>
      </c>
      <c r="D1169" t="s">
        <v>239</v>
      </c>
    </row>
    <row r="1170" spans="1:4" x14ac:dyDescent="0.3">
      <c r="A1170" t="s">
        <v>860</v>
      </c>
      <c r="B1170">
        <v>100466</v>
      </c>
      <c r="C1170" t="s">
        <v>856</v>
      </c>
      <c r="D1170" t="s">
        <v>241</v>
      </c>
    </row>
    <row r="1171" spans="1:4" x14ac:dyDescent="0.3">
      <c r="A1171" t="s">
        <v>860</v>
      </c>
      <c r="B1171">
        <v>100466</v>
      </c>
      <c r="C1171" t="s">
        <v>857</v>
      </c>
      <c r="D1171" t="s">
        <v>243</v>
      </c>
    </row>
    <row r="1172" spans="1:4" x14ac:dyDescent="0.3">
      <c r="A1172" t="s">
        <v>860</v>
      </c>
      <c r="B1172">
        <v>100466</v>
      </c>
      <c r="C1172" t="s">
        <v>858</v>
      </c>
      <c r="D1172" t="s">
        <v>245</v>
      </c>
    </row>
    <row r="1173" spans="1:4" x14ac:dyDescent="0.3">
      <c r="A1173" t="s">
        <v>860</v>
      </c>
      <c r="B1173">
        <v>100466</v>
      </c>
      <c r="C1173" t="s">
        <v>859</v>
      </c>
      <c r="D1173" t="s">
        <v>443</v>
      </c>
    </row>
    <row r="1174" spans="1:4" x14ac:dyDescent="0.3">
      <c r="A1174" t="s">
        <v>861</v>
      </c>
      <c r="B1174">
        <v>100472</v>
      </c>
      <c r="C1174" t="s">
        <v>862</v>
      </c>
      <c r="D1174" t="s">
        <v>237</v>
      </c>
    </row>
    <row r="1175" spans="1:4" x14ac:dyDescent="0.3">
      <c r="A1175" t="s">
        <v>861</v>
      </c>
      <c r="B1175">
        <v>100472</v>
      </c>
      <c r="C1175" t="s">
        <v>863</v>
      </c>
      <c r="D1175" t="s">
        <v>239</v>
      </c>
    </row>
    <row r="1176" spans="1:4" x14ac:dyDescent="0.3">
      <c r="A1176" t="s">
        <v>861</v>
      </c>
      <c r="B1176">
        <v>100472</v>
      </c>
      <c r="C1176" t="s">
        <v>864</v>
      </c>
      <c r="D1176" t="s">
        <v>241</v>
      </c>
    </row>
    <row r="1177" spans="1:4" x14ac:dyDescent="0.3">
      <c r="A1177" t="s">
        <v>861</v>
      </c>
      <c r="B1177">
        <v>100472</v>
      </c>
      <c r="C1177" t="s">
        <v>865</v>
      </c>
      <c r="D1177" t="s">
        <v>243</v>
      </c>
    </row>
    <row r="1178" spans="1:4" x14ac:dyDescent="0.3">
      <c r="A1178" t="s">
        <v>861</v>
      </c>
      <c r="B1178">
        <v>100472</v>
      </c>
      <c r="C1178" t="s">
        <v>866</v>
      </c>
      <c r="D1178" t="s">
        <v>245</v>
      </c>
    </row>
    <row r="1179" spans="1:4" x14ac:dyDescent="0.3">
      <c r="A1179" t="s">
        <v>861</v>
      </c>
      <c r="B1179">
        <v>100472</v>
      </c>
      <c r="C1179" t="s">
        <v>867</v>
      </c>
      <c r="D1179" t="s">
        <v>443</v>
      </c>
    </row>
    <row r="1180" spans="1:4" x14ac:dyDescent="0.3">
      <c r="A1180" t="s">
        <v>868</v>
      </c>
      <c r="B1180">
        <v>100473</v>
      </c>
      <c r="C1180" t="s">
        <v>862</v>
      </c>
      <c r="D1180" t="s">
        <v>237</v>
      </c>
    </row>
    <row r="1181" spans="1:4" x14ac:dyDescent="0.3">
      <c r="A1181" t="s">
        <v>868</v>
      </c>
      <c r="B1181">
        <v>100473</v>
      </c>
      <c r="C1181" t="s">
        <v>863</v>
      </c>
      <c r="D1181" t="s">
        <v>239</v>
      </c>
    </row>
    <row r="1182" spans="1:4" x14ac:dyDescent="0.3">
      <c r="A1182" t="s">
        <v>868</v>
      </c>
      <c r="B1182">
        <v>100473</v>
      </c>
      <c r="C1182" t="s">
        <v>864</v>
      </c>
      <c r="D1182" t="s">
        <v>241</v>
      </c>
    </row>
    <row r="1183" spans="1:4" x14ac:dyDescent="0.3">
      <c r="A1183" t="s">
        <v>868</v>
      </c>
      <c r="B1183">
        <v>100473</v>
      </c>
      <c r="C1183" t="s">
        <v>865</v>
      </c>
      <c r="D1183" t="s">
        <v>243</v>
      </c>
    </row>
    <row r="1184" spans="1:4" x14ac:dyDescent="0.3">
      <c r="A1184" t="s">
        <v>868</v>
      </c>
      <c r="B1184">
        <v>100473</v>
      </c>
      <c r="C1184" t="s">
        <v>866</v>
      </c>
      <c r="D1184" t="s">
        <v>245</v>
      </c>
    </row>
    <row r="1185" spans="1:4" x14ac:dyDescent="0.3">
      <c r="A1185" t="s">
        <v>868</v>
      </c>
      <c r="B1185">
        <v>100473</v>
      </c>
      <c r="C1185" t="s">
        <v>867</v>
      </c>
      <c r="D1185" t="s">
        <v>443</v>
      </c>
    </row>
    <row r="1186" spans="1:4" x14ac:dyDescent="0.3">
      <c r="A1186" t="s">
        <v>869</v>
      </c>
      <c r="B1186">
        <v>100479</v>
      </c>
      <c r="C1186" t="s">
        <v>870</v>
      </c>
      <c r="D1186" t="s">
        <v>237</v>
      </c>
    </row>
    <row r="1187" spans="1:4" x14ac:dyDescent="0.3">
      <c r="A1187" t="s">
        <v>869</v>
      </c>
      <c r="B1187">
        <v>100479</v>
      </c>
      <c r="C1187" t="s">
        <v>871</v>
      </c>
      <c r="D1187" t="s">
        <v>239</v>
      </c>
    </row>
    <row r="1188" spans="1:4" x14ac:dyDescent="0.3">
      <c r="A1188" t="s">
        <v>869</v>
      </c>
      <c r="B1188">
        <v>100479</v>
      </c>
      <c r="C1188" t="s">
        <v>872</v>
      </c>
      <c r="D1188" t="s">
        <v>241</v>
      </c>
    </row>
    <row r="1189" spans="1:4" x14ac:dyDescent="0.3">
      <c r="A1189" t="s">
        <v>869</v>
      </c>
      <c r="B1189">
        <v>100479</v>
      </c>
      <c r="C1189" t="s">
        <v>873</v>
      </c>
      <c r="D1189" t="s">
        <v>243</v>
      </c>
    </row>
    <row r="1190" spans="1:4" x14ac:dyDescent="0.3">
      <c r="A1190" t="s">
        <v>869</v>
      </c>
      <c r="B1190">
        <v>100479</v>
      </c>
      <c r="C1190" t="s">
        <v>874</v>
      </c>
      <c r="D1190" t="s">
        <v>245</v>
      </c>
    </row>
    <row r="1191" spans="1:4" x14ac:dyDescent="0.3">
      <c r="A1191" t="s">
        <v>869</v>
      </c>
      <c r="B1191">
        <v>100479</v>
      </c>
      <c r="C1191" t="s">
        <v>875</v>
      </c>
      <c r="D1191" t="s">
        <v>443</v>
      </c>
    </row>
    <row r="1192" spans="1:4" x14ac:dyDescent="0.3">
      <c r="A1192" t="s">
        <v>876</v>
      </c>
      <c r="B1192">
        <v>100480</v>
      </c>
      <c r="C1192" t="s">
        <v>870</v>
      </c>
      <c r="D1192" t="s">
        <v>237</v>
      </c>
    </row>
    <row r="1193" spans="1:4" x14ac:dyDescent="0.3">
      <c r="A1193" t="s">
        <v>876</v>
      </c>
      <c r="B1193">
        <v>100480</v>
      </c>
      <c r="C1193" t="s">
        <v>871</v>
      </c>
      <c r="D1193" t="s">
        <v>239</v>
      </c>
    </row>
    <row r="1194" spans="1:4" x14ac:dyDescent="0.3">
      <c r="A1194" t="s">
        <v>876</v>
      </c>
      <c r="B1194">
        <v>100480</v>
      </c>
      <c r="C1194" t="s">
        <v>872</v>
      </c>
      <c r="D1194" t="s">
        <v>241</v>
      </c>
    </row>
    <row r="1195" spans="1:4" x14ac:dyDescent="0.3">
      <c r="A1195" t="s">
        <v>876</v>
      </c>
      <c r="B1195">
        <v>100480</v>
      </c>
      <c r="C1195" t="s">
        <v>873</v>
      </c>
      <c r="D1195" t="s">
        <v>243</v>
      </c>
    </row>
    <row r="1196" spans="1:4" x14ac:dyDescent="0.3">
      <c r="A1196" t="s">
        <v>876</v>
      </c>
      <c r="B1196">
        <v>100480</v>
      </c>
      <c r="C1196" t="s">
        <v>874</v>
      </c>
      <c r="D1196" t="s">
        <v>245</v>
      </c>
    </row>
    <row r="1197" spans="1:4" x14ac:dyDescent="0.3">
      <c r="A1197" t="s">
        <v>876</v>
      </c>
      <c r="B1197">
        <v>100480</v>
      </c>
      <c r="C1197" t="s">
        <v>875</v>
      </c>
      <c r="D1197" t="s">
        <v>443</v>
      </c>
    </row>
    <row r="1198" spans="1:4" x14ac:dyDescent="0.3">
      <c r="A1198" t="s">
        <v>877</v>
      </c>
      <c r="B1198">
        <v>100486</v>
      </c>
      <c r="C1198" t="s">
        <v>878</v>
      </c>
      <c r="D1198" t="s">
        <v>237</v>
      </c>
    </row>
    <row r="1199" spans="1:4" x14ac:dyDescent="0.3">
      <c r="A1199" t="s">
        <v>877</v>
      </c>
      <c r="B1199">
        <v>100486</v>
      </c>
      <c r="C1199" t="s">
        <v>879</v>
      </c>
      <c r="D1199" t="s">
        <v>239</v>
      </c>
    </row>
    <row r="1200" spans="1:4" x14ac:dyDescent="0.3">
      <c r="A1200" t="s">
        <v>877</v>
      </c>
      <c r="B1200">
        <v>100486</v>
      </c>
      <c r="C1200" t="s">
        <v>880</v>
      </c>
      <c r="D1200" t="s">
        <v>241</v>
      </c>
    </row>
    <row r="1201" spans="1:4" x14ac:dyDescent="0.3">
      <c r="A1201" t="s">
        <v>877</v>
      </c>
      <c r="B1201">
        <v>100486</v>
      </c>
      <c r="C1201" t="s">
        <v>881</v>
      </c>
      <c r="D1201" t="s">
        <v>243</v>
      </c>
    </row>
    <row r="1202" spans="1:4" x14ac:dyDescent="0.3">
      <c r="A1202" t="s">
        <v>877</v>
      </c>
      <c r="B1202">
        <v>100486</v>
      </c>
      <c r="C1202" t="s">
        <v>882</v>
      </c>
      <c r="D1202" t="s">
        <v>245</v>
      </c>
    </row>
    <row r="1203" spans="1:4" x14ac:dyDescent="0.3">
      <c r="A1203" t="s">
        <v>877</v>
      </c>
      <c r="B1203">
        <v>100486</v>
      </c>
      <c r="C1203" t="s">
        <v>883</v>
      </c>
      <c r="D1203" t="s">
        <v>443</v>
      </c>
    </row>
    <row r="1204" spans="1:4" x14ac:dyDescent="0.3">
      <c r="A1204" t="s">
        <v>884</v>
      </c>
      <c r="B1204">
        <v>100487</v>
      </c>
      <c r="C1204" t="s">
        <v>878</v>
      </c>
      <c r="D1204" t="s">
        <v>237</v>
      </c>
    </row>
    <row r="1205" spans="1:4" x14ac:dyDescent="0.3">
      <c r="A1205" t="s">
        <v>884</v>
      </c>
      <c r="B1205">
        <v>100487</v>
      </c>
      <c r="C1205" t="s">
        <v>879</v>
      </c>
      <c r="D1205" t="s">
        <v>239</v>
      </c>
    </row>
    <row r="1206" spans="1:4" x14ac:dyDescent="0.3">
      <c r="A1206" t="s">
        <v>884</v>
      </c>
      <c r="B1206">
        <v>100487</v>
      </c>
      <c r="C1206" t="s">
        <v>880</v>
      </c>
      <c r="D1206" t="s">
        <v>241</v>
      </c>
    </row>
    <row r="1207" spans="1:4" x14ac:dyDescent="0.3">
      <c r="A1207" t="s">
        <v>884</v>
      </c>
      <c r="B1207">
        <v>100487</v>
      </c>
      <c r="C1207" t="s">
        <v>881</v>
      </c>
      <c r="D1207" t="s">
        <v>243</v>
      </c>
    </row>
    <row r="1208" spans="1:4" x14ac:dyDescent="0.3">
      <c r="A1208" t="s">
        <v>884</v>
      </c>
      <c r="B1208">
        <v>100487</v>
      </c>
      <c r="C1208" t="s">
        <v>882</v>
      </c>
      <c r="D1208" t="s">
        <v>245</v>
      </c>
    </row>
    <row r="1209" spans="1:4" x14ac:dyDescent="0.3">
      <c r="A1209" t="s">
        <v>884</v>
      </c>
      <c r="B1209">
        <v>100487</v>
      </c>
      <c r="C1209" t="s">
        <v>883</v>
      </c>
      <c r="D1209" t="s">
        <v>443</v>
      </c>
    </row>
    <row r="1210" spans="1:4" x14ac:dyDescent="0.3">
      <c r="A1210" t="s">
        <v>885</v>
      </c>
      <c r="B1210">
        <v>100493</v>
      </c>
      <c r="C1210" t="s">
        <v>886</v>
      </c>
      <c r="D1210" t="s">
        <v>237</v>
      </c>
    </row>
    <row r="1211" spans="1:4" x14ac:dyDescent="0.3">
      <c r="A1211" t="s">
        <v>885</v>
      </c>
      <c r="B1211">
        <v>100493</v>
      </c>
      <c r="C1211" t="s">
        <v>887</v>
      </c>
      <c r="D1211" t="s">
        <v>239</v>
      </c>
    </row>
    <row r="1212" spans="1:4" x14ac:dyDescent="0.3">
      <c r="A1212" t="s">
        <v>885</v>
      </c>
      <c r="B1212">
        <v>100493</v>
      </c>
      <c r="C1212" t="s">
        <v>888</v>
      </c>
      <c r="D1212" t="s">
        <v>241</v>
      </c>
    </row>
    <row r="1213" spans="1:4" x14ac:dyDescent="0.3">
      <c r="A1213" t="s">
        <v>885</v>
      </c>
      <c r="B1213">
        <v>100493</v>
      </c>
      <c r="C1213" t="s">
        <v>889</v>
      </c>
      <c r="D1213" t="s">
        <v>243</v>
      </c>
    </row>
    <row r="1214" spans="1:4" x14ac:dyDescent="0.3">
      <c r="A1214" t="s">
        <v>885</v>
      </c>
      <c r="B1214">
        <v>100493</v>
      </c>
      <c r="C1214" t="s">
        <v>890</v>
      </c>
      <c r="D1214" t="s">
        <v>245</v>
      </c>
    </row>
    <row r="1215" spans="1:4" x14ac:dyDescent="0.3">
      <c r="A1215" t="s">
        <v>885</v>
      </c>
      <c r="B1215">
        <v>100493</v>
      </c>
      <c r="C1215" t="s">
        <v>891</v>
      </c>
      <c r="D1215" t="s">
        <v>443</v>
      </c>
    </row>
    <row r="1216" spans="1:4" x14ac:dyDescent="0.3">
      <c r="A1216" t="s">
        <v>892</v>
      </c>
      <c r="B1216">
        <v>100494</v>
      </c>
      <c r="C1216" t="s">
        <v>886</v>
      </c>
      <c r="D1216" t="s">
        <v>237</v>
      </c>
    </row>
    <row r="1217" spans="1:4" x14ac:dyDescent="0.3">
      <c r="A1217" t="s">
        <v>892</v>
      </c>
      <c r="B1217">
        <v>100494</v>
      </c>
      <c r="C1217" t="s">
        <v>887</v>
      </c>
      <c r="D1217" t="s">
        <v>239</v>
      </c>
    </row>
    <row r="1218" spans="1:4" x14ac:dyDescent="0.3">
      <c r="A1218" t="s">
        <v>892</v>
      </c>
      <c r="B1218">
        <v>100494</v>
      </c>
      <c r="C1218" t="s">
        <v>888</v>
      </c>
      <c r="D1218" t="s">
        <v>241</v>
      </c>
    </row>
    <row r="1219" spans="1:4" x14ac:dyDescent="0.3">
      <c r="A1219" t="s">
        <v>892</v>
      </c>
      <c r="B1219">
        <v>100494</v>
      </c>
      <c r="C1219" t="s">
        <v>889</v>
      </c>
      <c r="D1219" t="s">
        <v>243</v>
      </c>
    </row>
    <row r="1220" spans="1:4" x14ac:dyDescent="0.3">
      <c r="A1220" t="s">
        <v>892</v>
      </c>
      <c r="B1220">
        <v>100494</v>
      </c>
      <c r="C1220" t="s">
        <v>890</v>
      </c>
      <c r="D1220" t="s">
        <v>245</v>
      </c>
    </row>
    <row r="1221" spans="1:4" x14ac:dyDescent="0.3">
      <c r="A1221" t="s">
        <v>892</v>
      </c>
      <c r="B1221">
        <v>100494</v>
      </c>
      <c r="C1221" t="s">
        <v>891</v>
      </c>
      <c r="D1221" t="s">
        <v>443</v>
      </c>
    </row>
    <row r="1222" spans="1:4" x14ac:dyDescent="0.3">
      <c r="A1222" t="s">
        <v>893</v>
      </c>
      <c r="B1222">
        <v>100500</v>
      </c>
      <c r="C1222" t="s">
        <v>894</v>
      </c>
      <c r="D1222" t="s">
        <v>237</v>
      </c>
    </row>
    <row r="1223" spans="1:4" x14ac:dyDescent="0.3">
      <c r="A1223" t="s">
        <v>893</v>
      </c>
      <c r="B1223">
        <v>100500</v>
      </c>
      <c r="C1223" t="s">
        <v>895</v>
      </c>
      <c r="D1223" t="s">
        <v>239</v>
      </c>
    </row>
    <row r="1224" spans="1:4" x14ac:dyDescent="0.3">
      <c r="A1224" t="s">
        <v>893</v>
      </c>
      <c r="B1224">
        <v>100500</v>
      </c>
      <c r="C1224" t="s">
        <v>896</v>
      </c>
      <c r="D1224" t="s">
        <v>241</v>
      </c>
    </row>
    <row r="1225" spans="1:4" x14ac:dyDescent="0.3">
      <c r="A1225" t="s">
        <v>893</v>
      </c>
      <c r="B1225">
        <v>100500</v>
      </c>
      <c r="C1225" t="s">
        <v>897</v>
      </c>
      <c r="D1225" t="s">
        <v>243</v>
      </c>
    </row>
    <row r="1226" spans="1:4" x14ac:dyDescent="0.3">
      <c r="A1226" t="s">
        <v>893</v>
      </c>
      <c r="B1226">
        <v>100500</v>
      </c>
      <c r="C1226" t="s">
        <v>898</v>
      </c>
      <c r="D1226" t="s">
        <v>245</v>
      </c>
    </row>
    <row r="1227" spans="1:4" x14ac:dyDescent="0.3">
      <c r="A1227" t="s">
        <v>893</v>
      </c>
      <c r="B1227">
        <v>100500</v>
      </c>
      <c r="C1227" t="s">
        <v>899</v>
      </c>
      <c r="D1227" t="s">
        <v>443</v>
      </c>
    </row>
    <row r="1228" spans="1:4" x14ac:dyDescent="0.3">
      <c r="A1228" t="s">
        <v>900</v>
      </c>
      <c r="B1228">
        <v>100501</v>
      </c>
      <c r="C1228" t="s">
        <v>894</v>
      </c>
      <c r="D1228" t="s">
        <v>237</v>
      </c>
    </row>
    <row r="1229" spans="1:4" x14ac:dyDescent="0.3">
      <c r="A1229" t="s">
        <v>900</v>
      </c>
      <c r="B1229">
        <v>100501</v>
      </c>
      <c r="C1229" t="s">
        <v>895</v>
      </c>
      <c r="D1229" t="s">
        <v>239</v>
      </c>
    </row>
    <row r="1230" spans="1:4" x14ac:dyDescent="0.3">
      <c r="A1230" t="s">
        <v>900</v>
      </c>
      <c r="B1230">
        <v>100501</v>
      </c>
      <c r="C1230" t="s">
        <v>896</v>
      </c>
      <c r="D1230" t="s">
        <v>241</v>
      </c>
    </row>
    <row r="1231" spans="1:4" x14ac:dyDescent="0.3">
      <c r="A1231" t="s">
        <v>900</v>
      </c>
      <c r="B1231">
        <v>100501</v>
      </c>
      <c r="C1231" t="s">
        <v>897</v>
      </c>
      <c r="D1231" t="s">
        <v>243</v>
      </c>
    </row>
    <row r="1232" spans="1:4" x14ac:dyDescent="0.3">
      <c r="A1232" t="s">
        <v>900</v>
      </c>
      <c r="B1232">
        <v>100501</v>
      </c>
      <c r="C1232" t="s">
        <v>898</v>
      </c>
      <c r="D1232" t="s">
        <v>245</v>
      </c>
    </row>
    <row r="1233" spans="1:4" x14ac:dyDescent="0.3">
      <c r="A1233" t="s">
        <v>900</v>
      </c>
      <c r="B1233">
        <v>100501</v>
      </c>
      <c r="C1233" t="s">
        <v>899</v>
      </c>
      <c r="D1233" t="s">
        <v>443</v>
      </c>
    </row>
    <row r="1234" spans="1:4" x14ac:dyDescent="0.3">
      <c r="A1234" t="s">
        <v>901</v>
      </c>
      <c r="B1234">
        <v>100507</v>
      </c>
      <c r="C1234" t="s">
        <v>902</v>
      </c>
      <c r="D1234" t="s">
        <v>237</v>
      </c>
    </row>
    <row r="1235" spans="1:4" x14ac:dyDescent="0.3">
      <c r="A1235" t="s">
        <v>901</v>
      </c>
      <c r="B1235">
        <v>100507</v>
      </c>
      <c r="C1235" t="s">
        <v>903</v>
      </c>
      <c r="D1235" t="s">
        <v>239</v>
      </c>
    </row>
    <row r="1236" spans="1:4" x14ac:dyDescent="0.3">
      <c r="A1236" t="s">
        <v>901</v>
      </c>
      <c r="B1236">
        <v>100507</v>
      </c>
      <c r="C1236" t="s">
        <v>904</v>
      </c>
      <c r="D1236" t="s">
        <v>241</v>
      </c>
    </row>
    <row r="1237" spans="1:4" x14ac:dyDescent="0.3">
      <c r="A1237" t="s">
        <v>901</v>
      </c>
      <c r="B1237">
        <v>100507</v>
      </c>
      <c r="C1237" t="s">
        <v>905</v>
      </c>
      <c r="D1237" t="s">
        <v>243</v>
      </c>
    </row>
    <row r="1238" spans="1:4" x14ac:dyDescent="0.3">
      <c r="A1238" t="s">
        <v>901</v>
      </c>
      <c r="B1238">
        <v>100507</v>
      </c>
      <c r="C1238" t="s">
        <v>906</v>
      </c>
      <c r="D1238" t="s">
        <v>245</v>
      </c>
    </row>
    <row r="1239" spans="1:4" x14ac:dyDescent="0.3">
      <c r="A1239" t="s">
        <v>901</v>
      </c>
      <c r="B1239">
        <v>100507</v>
      </c>
      <c r="C1239" t="s">
        <v>907</v>
      </c>
      <c r="D1239" t="s">
        <v>443</v>
      </c>
    </row>
    <row r="1240" spans="1:4" x14ac:dyDescent="0.3">
      <c r="A1240" t="s">
        <v>908</v>
      </c>
      <c r="B1240">
        <v>100508</v>
      </c>
      <c r="C1240" t="s">
        <v>902</v>
      </c>
      <c r="D1240" t="s">
        <v>237</v>
      </c>
    </row>
    <row r="1241" spans="1:4" x14ac:dyDescent="0.3">
      <c r="A1241" t="s">
        <v>908</v>
      </c>
      <c r="B1241">
        <v>100508</v>
      </c>
      <c r="C1241" t="s">
        <v>903</v>
      </c>
      <c r="D1241" t="s">
        <v>239</v>
      </c>
    </row>
    <row r="1242" spans="1:4" x14ac:dyDescent="0.3">
      <c r="A1242" t="s">
        <v>908</v>
      </c>
      <c r="B1242">
        <v>100508</v>
      </c>
      <c r="C1242" t="s">
        <v>904</v>
      </c>
      <c r="D1242" t="s">
        <v>241</v>
      </c>
    </row>
    <row r="1243" spans="1:4" x14ac:dyDescent="0.3">
      <c r="A1243" t="s">
        <v>908</v>
      </c>
      <c r="B1243">
        <v>100508</v>
      </c>
      <c r="C1243" t="s">
        <v>905</v>
      </c>
      <c r="D1243" t="s">
        <v>243</v>
      </c>
    </row>
    <row r="1244" spans="1:4" x14ac:dyDescent="0.3">
      <c r="A1244" t="s">
        <v>908</v>
      </c>
      <c r="B1244">
        <v>100508</v>
      </c>
      <c r="C1244" t="s">
        <v>906</v>
      </c>
      <c r="D1244" t="s">
        <v>245</v>
      </c>
    </row>
    <row r="1245" spans="1:4" x14ac:dyDescent="0.3">
      <c r="A1245" t="s">
        <v>908</v>
      </c>
      <c r="B1245">
        <v>100508</v>
      </c>
      <c r="C1245" t="s">
        <v>907</v>
      </c>
      <c r="D1245" t="s">
        <v>443</v>
      </c>
    </row>
    <row r="1246" spans="1:4" x14ac:dyDescent="0.3">
      <c r="A1246" t="s">
        <v>909</v>
      </c>
      <c r="B1246">
        <v>100514</v>
      </c>
      <c r="C1246" t="s">
        <v>910</v>
      </c>
      <c r="D1246" t="s">
        <v>237</v>
      </c>
    </row>
    <row r="1247" spans="1:4" x14ac:dyDescent="0.3">
      <c r="A1247" t="s">
        <v>909</v>
      </c>
      <c r="B1247">
        <v>100514</v>
      </c>
      <c r="C1247" t="s">
        <v>911</v>
      </c>
      <c r="D1247" t="s">
        <v>239</v>
      </c>
    </row>
    <row r="1248" spans="1:4" x14ac:dyDescent="0.3">
      <c r="A1248" t="s">
        <v>909</v>
      </c>
      <c r="B1248">
        <v>100514</v>
      </c>
      <c r="C1248" t="s">
        <v>912</v>
      </c>
      <c r="D1248" t="s">
        <v>241</v>
      </c>
    </row>
    <row r="1249" spans="1:4" x14ac:dyDescent="0.3">
      <c r="A1249" t="s">
        <v>909</v>
      </c>
      <c r="B1249">
        <v>100514</v>
      </c>
      <c r="C1249" t="s">
        <v>913</v>
      </c>
      <c r="D1249" t="s">
        <v>243</v>
      </c>
    </row>
    <row r="1250" spans="1:4" x14ac:dyDescent="0.3">
      <c r="A1250" t="s">
        <v>909</v>
      </c>
      <c r="B1250">
        <v>100514</v>
      </c>
      <c r="C1250" t="s">
        <v>914</v>
      </c>
      <c r="D1250" t="s">
        <v>245</v>
      </c>
    </row>
    <row r="1251" spans="1:4" x14ac:dyDescent="0.3">
      <c r="A1251" t="s">
        <v>909</v>
      </c>
      <c r="B1251">
        <v>100514</v>
      </c>
      <c r="C1251" t="s">
        <v>915</v>
      </c>
      <c r="D1251" t="s">
        <v>443</v>
      </c>
    </row>
    <row r="1252" spans="1:4" x14ac:dyDescent="0.3">
      <c r="A1252" t="s">
        <v>916</v>
      </c>
      <c r="B1252">
        <v>100515</v>
      </c>
      <c r="C1252" t="s">
        <v>910</v>
      </c>
      <c r="D1252" t="s">
        <v>237</v>
      </c>
    </row>
    <row r="1253" spans="1:4" x14ac:dyDescent="0.3">
      <c r="A1253" t="s">
        <v>916</v>
      </c>
      <c r="B1253">
        <v>100515</v>
      </c>
      <c r="C1253" t="s">
        <v>911</v>
      </c>
      <c r="D1253" t="s">
        <v>239</v>
      </c>
    </row>
    <row r="1254" spans="1:4" x14ac:dyDescent="0.3">
      <c r="A1254" t="s">
        <v>916</v>
      </c>
      <c r="B1254">
        <v>100515</v>
      </c>
      <c r="C1254" t="s">
        <v>912</v>
      </c>
      <c r="D1254" t="s">
        <v>241</v>
      </c>
    </row>
    <row r="1255" spans="1:4" x14ac:dyDescent="0.3">
      <c r="A1255" t="s">
        <v>916</v>
      </c>
      <c r="B1255">
        <v>100515</v>
      </c>
      <c r="C1255" t="s">
        <v>913</v>
      </c>
      <c r="D1255" t="s">
        <v>243</v>
      </c>
    </row>
    <row r="1256" spans="1:4" x14ac:dyDescent="0.3">
      <c r="A1256" t="s">
        <v>916</v>
      </c>
      <c r="B1256">
        <v>100515</v>
      </c>
      <c r="C1256" t="s">
        <v>914</v>
      </c>
      <c r="D1256" t="s">
        <v>245</v>
      </c>
    </row>
    <row r="1257" spans="1:4" x14ac:dyDescent="0.3">
      <c r="A1257" t="s">
        <v>916</v>
      </c>
      <c r="B1257">
        <v>100515</v>
      </c>
      <c r="C1257" t="s">
        <v>915</v>
      </c>
      <c r="D1257" t="s">
        <v>443</v>
      </c>
    </row>
    <row r="1258" spans="1:4" x14ac:dyDescent="0.3">
      <c r="A1258" t="s">
        <v>917</v>
      </c>
      <c r="B1258">
        <v>100521</v>
      </c>
      <c r="C1258" t="s">
        <v>918</v>
      </c>
      <c r="D1258" t="s">
        <v>237</v>
      </c>
    </row>
    <row r="1259" spans="1:4" x14ac:dyDescent="0.3">
      <c r="A1259" t="s">
        <v>917</v>
      </c>
      <c r="B1259">
        <v>100521</v>
      </c>
      <c r="C1259" t="s">
        <v>919</v>
      </c>
      <c r="D1259" t="s">
        <v>239</v>
      </c>
    </row>
    <row r="1260" spans="1:4" x14ac:dyDescent="0.3">
      <c r="A1260" t="s">
        <v>917</v>
      </c>
      <c r="B1260">
        <v>100521</v>
      </c>
      <c r="C1260" t="s">
        <v>920</v>
      </c>
      <c r="D1260" t="s">
        <v>241</v>
      </c>
    </row>
    <row r="1261" spans="1:4" x14ac:dyDescent="0.3">
      <c r="A1261" t="s">
        <v>917</v>
      </c>
      <c r="B1261">
        <v>100521</v>
      </c>
      <c r="C1261" t="s">
        <v>921</v>
      </c>
      <c r="D1261" t="s">
        <v>243</v>
      </c>
    </row>
    <row r="1262" spans="1:4" x14ac:dyDescent="0.3">
      <c r="A1262" t="s">
        <v>917</v>
      </c>
      <c r="B1262">
        <v>100521</v>
      </c>
      <c r="C1262" t="s">
        <v>922</v>
      </c>
      <c r="D1262" t="s">
        <v>245</v>
      </c>
    </row>
    <row r="1263" spans="1:4" x14ac:dyDescent="0.3">
      <c r="A1263" t="s">
        <v>917</v>
      </c>
      <c r="B1263">
        <v>100521</v>
      </c>
      <c r="C1263" t="s">
        <v>923</v>
      </c>
      <c r="D1263" t="s">
        <v>443</v>
      </c>
    </row>
    <row r="1264" spans="1:4" x14ac:dyDescent="0.3">
      <c r="A1264" t="s">
        <v>924</v>
      </c>
      <c r="B1264">
        <v>100522</v>
      </c>
      <c r="C1264" t="s">
        <v>918</v>
      </c>
      <c r="D1264" t="s">
        <v>237</v>
      </c>
    </row>
    <row r="1265" spans="1:4" x14ac:dyDescent="0.3">
      <c r="A1265" t="s">
        <v>924</v>
      </c>
      <c r="B1265">
        <v>100522</v>
      </c>
      <c r="C1265" t="s">
        <v>919</v>
      </c>
      <c r="D1265" t="s">
        <v>239</v>
      </c>
    </row>
    <row r="1266" spans="1:4" x14ac:dyDescent="0.3">
      <c r="A1266" t="s">
        <v>924</v>
      </c>
      <c r="B1266">
        <v>100522</v>
      </c>
      <c r="C1266" t="s">
        <v>920</v>
      </c>
      <c r="D1266" t="s">
        <v>241</v>
      </c>
    </row>
    <row r="1267" spans="1:4" x14ac:dyDescent="0.3">
      <c r="A1267" t="s">
        <v>924</v>
      </c>
      <c r="B1267">
        <v>100522</v>
      </c>
      <c r="C1267" t="s">
        <v>921</v>
      </c>
      <c r="D1267" t="s">
        <v>243</v>
      </c>
    </row>
    <row r="1268" spans="1:4" x14ac:dyDescent="0.3">
      <c r="A1268" t="s">
        <v>924</v>
      </c>
      <c r="B1268">
        <v>100522</v>
      </c>
      <c r="C1268" t="s">
        <v>922</v>
      </c>
      <c r="D1268" t="s">
        <v>245</v>
      </c>
    </row>
    <row r="1269" spans="1:4" x14ac:dyDescent="0.3">
      <c r="A1269" t="s">
        <v>924</v>
      </c>
      <c r="B1269">
        <v>100522</v>
      </c>
      <c r="C1269" t="s">
        <v>923</v>
      </c>
      <c r="D1269" t="s">
        <v>443</v>
      </c>
    </row>
    <row r="1270" spans="1:4" x14ac:dyDescent="0.3">
      <c r="A1270" t="s">
        <v>925</v>
      </c>
      <c r="B1270">
        <v>100528</v>
      </c>
      <c r="C1270" t="s">
        <v>926</v>
      </c>
      <c r="D1270" t="s">
        <v>237</v>
      </c>
    </row>
    <row r="1271" spans="1:4" x14ac:dyDescent="0.3">
      <c r="A1271" t="s">
        <v>925</v>
      </c>
      <c r="B1271">
        <v>100528</v>
      </c>
      <c r="C1271" t="s">
        <v>927</v>
      </c>
      <c r="D1271" t="s">
        <v>239</v>
      </c>
    </row>
    <row r="1272" spans="1:4" x14ac:dyDescent="0.3">
      <c r="A1272" t="s">
        <v>925</v>
      </c>
      <c r="B1272">
        <v>100528</v>
      </c>
      <c r="C1272" t="s">
        <v>928</v>
      </c>
      <c r="D1272" t="s">
        <v>241</v>
      </c>
    </row>
    <row r="1273" spans="1:4" x14ac:dyDescent="0.3">
      <c r="A1273" t="s">
        <v>925</v>
      </c>
      <c r="B1273">
        <v>100528</v>
      </c>
      <c r="C1273" t="s">
        <v>929</v>
      </c>
      <c r="D1273" t="s">
        <v>243</v>
      </c>
    </row>
    <row r="1274" spans="1:4" x14ac:dyDescent="0.3">
      <c r="A1274" t="s">
        <v>925</v>
      </c>
      <c r="B1274">
        <v>100528</v>
      </c>
      <c r="C1274" t="s">
        <v>930</v>
      </c>
      <c r="D1274" t="s">
        <v>245</v>
      </c>
    </row>
    <row r="1275" spans="1:4" x14ac:dyDescent="0.3">
      <c r="A1275" t="s">
        <v>925</v>
      </c>
      <c r="B1275">
        <v>100528</v>
      </c>
      <c r="C1275" t="s">
        <v>931</v>
      </c>
      <c r="D1275" t="s">
        <v>443</v>
      </c>
    </row>
    <row r="1276" spans="1:4" x14ac:dyDescent="0.3">
      <c r="A1276" t="s">
        <v>932</v>
      </c>
      <c r="B1276">
        <v>100529</v>
      </c>
      <c r="C1276" t="s">
        <v>926</v>
      </c>
      <c r="D1276" t="s">
        <v>237</v>
      </c>
    </row>
    <row r="1277" spans="1:4" x14ac:dyDescent="0.3">
      <c r="A1277" t="s">
        <v>932</v>
      </c>
      <c r="B1277">
        <v>100529</v>
      </c>
      <c r="C1277" t="s">
        <v>927</v>
      </c>
      <c r="D1277" t="s">
        <v>239</v>
      </c>
    </row>
    <row r="1278" spans="1:4" x14ac:dyDescent="0.3">
      <c r="A1278" t="s">
        <v>932</v>
      </c>
      <c r="B1278">
        <v>100529</v>
      </c>
      <c r="C1278" t="s">
        <v>928</v>
      </c>
      <c r="D1278" t="s">
        <v>241</v>
      </c>
    </row>
    <row r="1279" spans="1:4" x14ac:dyDescent="0.3">
      <c r="A1279" t="s">
        <v>932</v>
      </c>
      <c r="B1279">
        <v>100529</v>
      </c>
      <c r="C1279" t="s">
        <v>929</v>
      </c>
      <c r="D1279" t="s">
        <v>243</v>
      </c>
    </row>
    <row r="1280" spans="1:4" x14ac:dyDescent="0.3">
      <c r="A1280" t="s">
        <v>932</v>
      </c>
      <c r="B1280">
        <v>100529</v>
      </c>
      <c r="C1280" t="s">
        <v>930</v>
      </c>
      <c r="D1280" t="s">
        <v>245</v>
      </c>
    </row>
    <row r="1281" spans="1:4" x14ac:dyDescent="0.3">
      <c r="A1281" t="s">
        <v>932</v>
      </c>
      <c r="B1281">
        <v>100529</v>
      </c>
      <c r="C1281" t="s">
        <v>931</v>
      </c>
      <c r="D1281" t="s">
        <v>443</v>
      </c>
    </row>
    <row r="1282" spans="1:4" x14ac:dyDescent="0.3">
      <c r="A1282" t="s">
        <v>933</v>
      </c>
      <c r="B1282">
        <v>100535</v>
      </c>
      <c r="C1282" t="s">
        <v>934</v>
      </c>
      <c r="D1282" t="s">
        <v>237</v>
      </c>
    </row>
    <row r="1283" spans="1:4" x14ac:dyDescent="0.3">
      <c r="A1283" t="s">
        <v>933</v>
      </c>
      <c r="B1283">
        <v>100535</v>
      </c>
      <c r="C1283" t="s">
        <v>935</v>
      </c>
      <c r="D1283" t="s">
        <v>239</v>
      </c>
    </row>
    <row r="1284" spans="1:4" x14ac:dyDescent="0.3">
      <c r="A1284" t="s">
        <v>933</v>
      </c>
      <c r="B1284">
        <v>100535</v>
      </c>
      <c r="C1284" t="s">
        <v>936</v>
      </c>
      <c r="D1284" t="s">
        <v>241</v>
      </c>
    </row>
    <row r="1285" spans="1:4" x14ac:dyDescent="0.3">
      <c r="A1285" t="s">
        <v>933</v>
      </c>
      <c r="B1285">
        <v>100535</v>
      </c>
      <c r="C1285" t="s">
        <v>937</v>
      </c>
      <c r="D1285" t="s">
        <v>243</v>
      </c>
    </row>
    <row r="1286" spans="1:4" x14ac:dyDescent="0.3">
      <c r="A1286" t="s">
        <v>933</v>
      </c>
      <c r="B1286">
        <v>100535</v>
      </c>
      <c r="C1286" t="s">
        <v>938</v>
      </c>
      <c r="D1286" t="s">
        <v>245</v>
      </c>
    </row>
    <row r="1287" spans="1:4" x14ac:dyDescent="0.3">
      <c r="A1287" t="s">
        <v>933</v>
      </c>
      <c r="B1287">
        <v>100535</v>
      </c>
      <c r="C1287" t="s">
        <v>939</v>
      </c>
      <c r="D1287" t="s">
        <v>443</v>
      </c>
    </row>
    <row r="1288" spans="1:4" x14ac:dyDescent="0.3">
      <c r="A1288" t="s">
        <v>940</v>
      </c>
      <c r="B1288">
        <v>100536</v>
      </c>
      <c r="C1288" t="s">
        <v>934</v>
      </c>
      <c r="D1288" t="s">
        <v>237</v>
      </c>
    </row>
    <row r="1289" spans="1:4" x14ac:dyDescent="0.3">
      <c r="A1289" t="s">
        <v>940</v>
      </c>
      <c r="B1289">
        <v>100536</v>
      </c>
      <c r="C1289" t="s">
        <v>935</v>
      </c>
      <c r="D1289" t="s">
        <v>239</v>
      </c>
    </row>
    <row r="1290" spans="1:4" x14ac:dyDescent="0.3">
      <c r="A1290" t="s">
        <v>940</v>
      </c>
      <c r="B1290">
        <v>100536</v>
      </c>
      <c r="C1290" t="s">
        <v>936</v>
      </c>
      <c r="D1290" t="s">
        <v>241</v>
      </c>
    </row>
    <row r="1291" spans="1:4" x14ac:dyDescent="0.3">
      <c r="A1291" t="s">
        <v>940</v>
      </c>
      <c r="B1291">
        <v>100536</v>
      </c>
      <c r="C1291" t="s">
        <v>937</v>
      </c>
      <c r="D1291" t="s">
        <v>243</v>
      </c>
    </row>
    <row r="1292" spans="1:4" x14ac:dyDescent="0.3">
      <c r="A1292" t="s">
        <v>940</v>
      </c>
      <c r="B1292">
        <v>100536</v>
      </c>
      <c r="C1292" t="s">
        <v>938</v>
      </c>
      <c r="D1292" t="s">
        <v>245</v>
      </c>
    </row>
    <row r="1293" spans="1:4" x14ac:dyDescent="0.3">
      <c r="A1293" t="s">
        <v>940</v>
      </c>
      <c r="B1293">
        <v>100536</v>
      </c>
      <c r="C1293" t="s">
        <v>939</v>
      </c>
      <c r="D1293" t="s">
        <v>443</v>
      </c>
    </row>
    <row r="1294" spans="1:4" x14ac:dyDescent="0.3">
      <c r="A1294" t="s">
        <v>941</v>
      </c>
      <c r="B1294">
        <v>100542</v>
      </c>
      <c r="C1294" t="s">
        <v>942</v>
      </c>
      <c r="D1294" t="s">
        <v>237</v>
      </c>
    </row>
    <row r="1295" spans="1:4" x14ac:dyDescent="0.3">
      <c r="A1295" t="s">
        <v>941</v>
      </c>
      <c r="B1295">
        <v>100542</v>
      </c>
      <c r="C1295" t="s">
        <v>943</v>
      </c>
      <c r="D1295" t="s">
        <v>239</v>
      </c>
    </row>
    <row r="1296" spans="1:4" x14ac:dyDescent="0.3">
      <c r="A1296" t="s">
        <v>941</v>
      </c>
      <c r="B1296">
        <v>100542</v>
      </c>
      <c r="C1296" t="s">
        <v>944</v>
      </c>
      <c r="D1296" t="s">
        <v>241</v>
      </c>
    </row>
    <row r="1297" spans="1:4" x14ac:dyDescent="0.3">
      <c r="A1297" t="s">
        <v>941</v>
      </c>
      <c r="B1297">
        <v>100542</v>
      </c>
      <c r="C1297" t="s">
        <v>945</v>
      </c>
      <c r="D1297" t="s">
        <v>243</v>
      </c>
    </row>
    <row r="1298" spans="1:4" x14ac:dyDescent="0.3">
      <c r="A1298" t="s">
        <v>941</v>
      </c>
      <c r="B1298">
        <v>100542</v>
      </c>
      <c r="C1298" t="s">
        <v>946</v>
      </c>
      <c r="D1298" t="s">
        <v>245</v>
      </c>
    </row>
    <row r="1299" spans="1:4" x14ac:dyDescent="0.3">
      <c r="A1299" t="s">
        <v>941</v>
      </c>
      <c r="B1299">
        <v>100542</v>
      </c>
      <c r="C1299" t="s">
        <v>947</v>
      </c>
      <c r="D1299" t="s">
        <v>443</v>
      </c>
    </row>
    <row r="1300" spans="1:4" x14ac:dyDescent="0.3">
      <c r="A1300" t="s">
        <v>948</v>
      </c>
      <c r="B1300">
        <v>100543</v>
      </c>
      <c r="C1300" t="s">
        <v>942</v>
      </c>
      <c r="D1300" t="s">
        <v>237</v>
      </c>
    </row>
    <row r="1301" spans="1:4" x14ac:dyDescent="0.3">
      <c r="A1301" t="s">
        <v>948</v>
      </c>
      <c r="B1301">
        <v>100543</v>
      </c>
      <c r="C1301" t="s">
        <v>943</v>
      </c>
      <c r="D1301" t="s">
        <v>239</v>
      </c>
    </row>
    <row r="1302" spans="1:4" x14ac:dyDescent="0.3">
      <c r="A1302" t="s">
        <v>948</v>
      </c>
      <c r="B1302">
        <v>100543</v>
      </c>
      <c r="C1302" t="s">
        <v>944</v>
      </c>
      <c r="D1302" t="s">
        <v>241</v>
      </c>
    </row>
    <row r="1303" spans="1:4" x14ac:dyDescent="0.3">
      <c r="A1303" t="s">
        <v>948</v>
      </c>
      <c r="B1303">
        <v>100543</v>
      </c>
      <c r="C1303" t="s">
        <v>945</v>
      </c>
      <c r="D1303" t="s">
        <v>243</v>
      </c>
    </row>
    <row r="1304" spans="1:4" x14ac:dyDescent="0.3">
      <c r="A1304" t="s">
        <v>948</v>
      </c>
      <c r="B1304">
        <v>100543</v>
      </c>
      <c r="C1304" t="s">
        <v>946</v>
      </c>
      <c r="D1304" t="s">
        <v>245</v>
      </c>
    </row>
    <row r="1305" spans="1:4" x14ac:dyDescent="0.3">
      <c r="A1305" t="s">
        <v>948</v>
      </c>
      <c r="B1305">
        <v>100543</v>
      </c>
      <c r="C1305" t="s">
        <v>947</v>
      </c>
      <c r="D1305" t="s">
        <v>443</v>
      </c>
    </row>
    <row r="1306" spans="1:4" x14ac:dyDescent="0.3">
      <c r="A1306" t="s">
        <v>949</v>
      </c>
      <c r="B1306">
        <v>100549</v>
      </c>
      <c r="C1306" t="s">
        <v>950</v>
      </c>
      <c r="D1306" t="s">
        <v>237</v>
      </c>
    </row>
    <row r="1307" spans="1:4" x14ac:dyDescent="0.3">
      <c r="A1307" t="s">
        <v>949</v>
      </c>
      <c r="B1307">
        <v>100549</v>
      </c>
      <c r="C1307" t="s">
        <v>951</v>
      </c>
      <c r="D1307" t="s">
        <v>239</v>
      </c>
    </row>
    <row r="1308" spans="1:4" x14ac:dyDescent="0.3">
      <c r="A1308" t="s">
        <v>949</v>
      </c>
      <c r="B1308">
        <v>100549</v>
      </c>
      <c r="C1308" t="s">
        <v>952</v>
      </c>
      <c r="D1308" t="s">
        <v>241</v>
      </c>
    </row>
    <row r="1309" spans="1:4" x14ac:dyDescent="0.3">
      <c r="A1309" t="s">
        <v>949</v>
      </c>
      <c r="B1309">
        <v>100549</v>
      </c>
      <c r="C1309" t="s">
        <v>953</v>
      </c>
      <c r="D1309" t="s">
        <v>243</v>
      </c>
    </row>
    <row r="1310" spans="1:4" x14ac:dyDescent="0.3">
      <c r="A1310" t="s">
        <v>949</v>
      </c>
      <c r="B1310">
        <v>100549</v>
      </c>
      <c r="C1310" t="s">
        <v>954</v>
      </c>
      <c r="D1310" t="s">
        <v>245</v>
      </c>
    </row>
    <row r="1311" spans="1:4" x14ac:dyDescent="0.3">
      <c r="A1311" t="s">
        <v>949</v>
      </c>
      <c r="B1311">
        <v>100549</v>
      </c>
      <c r="C1311" t="s">
        <v>955</v>
      </c>
      <c r="D1311" t="s">
        <v>443</v>
      </c>
    </row>
    <row r="1312" spans="1:4" x14ac:dyDescent="0.3">
      <c r="A1312" t="s">
        <v>956</v>
      </c>
      <c r="B1312">
        <v>100550</v>
      </c>
      <c r="C1312" t="s">
        <v>950</v>
      </c>
      <c r="D1312" t="s">
        <v>237</v>
      </c>
    </row>
    <row r="1313" spans="1:4" x14ac:dyDescent="0.3">
      <c r="A1313" t="s">
        <v>956</v>
      </c>
      <c r="B1313">
        <v>100550</v>
      </c>
      <c r="C1313" t="s">
        <v>951</v>
      </c>
      <c r="D1313" t="s">
        <v>239</v>
      </c>
    </row>
    <row r="1314" spans="1:4" x14ac:dyDescent="0.3">
      <c r="A1314" t="s">
        <v>956</v>
      </c>
      <c r="B1314">
        <v>100550</v>
      </c>
      <c r="C1314" t="s">
        <v>952</v>
      </c>
      <c r="D1314" t="s">
        <v>241</v>
      </c>
    </row>
    <row r="1315" spans="1:4" x14ac:dyDescent="0.3">
      <c r="A1315" t="s">
        <v>956</v>
      </c>
      <c r="B1315">
        <v>100550</v>
      </c>
      <c r="C1315" t="s">
        <v>953</v>
      </c>
      <c r="D1315" t="s">
        <v>243</v>
      </c>
    </row>
    <row r="1316" spans="1:4" x14ac:dyDescent="0.3">
      <c r="A1316" t="s">
        <v>956</v>
      </c>
      <c r="B1316">
        <v>100550</v>
      </c>
      <c r="C1316" t="s">
        <v>954</v>
      </c>
      <c r="D1316" t="s">
        <v>245</v>
      </c>
    </row>
    <row r="1317" spans="1:4" x14ac:dyDescent="0.3">
      <c r="A1317" t="s">
        <v>956</v>
      </c>
      <c r="B1317">
        <v>100550</v>
      </c>
      <c r="C1317" t="s">
        <v>955</v>
      </c>
      <c r="D1317" t="s">
        <v>443</v>
      </c>
    </row>
    <row r="1318" spans="1:4" x14ac:dyDescent="0.3">
      <c r="A1318" t="s">
        <v>957</v>
      </c>
      <c r="B1318">
        <v>100556</v>
      </c>
      <c r="C1318" t="s">
        <v>958</v>
      </c>
      <c r="D1318" t="s">
        <v>237</v>
      </c>
    </row>
    <row r="1319" spans="1:4" x14ac:dyDescent="0.3">
      <c r="A1319" t="s">
        <v>957</v>
      </c>
      <c r="B1319">
        <v>100556</v>
      </c>
      <c r="C1319" t="s">
        <v>959</v>
      </c>
      <c r="D1319" t="s">
        <v>239</v>
      </c>
    </row>
    <row r="1320" spans="1:4" x14ac:dyDescent="0.3">
      <c r="A1320" t="s">
        <v>957</v>
      </c>
      <c r="B1320">
        <v>100556</v>
      </c>
      <c r="C1320" t="s">
        <v>960</v>
      </c>
      <c r="D1320" t="s">
        <v>241</v>
      </c>
    </row>
    <row r="1321" spans="1:4" x14ac:dyDescent="0.3">
      <c r="A1321" t="s">
        <v>957</v>
      </c>
      <c r="B1321">
        <v>100556</v>
      </c>
      <c r="C1321" t="s">
        <v>961</v>
      </c>
      <c r="D1321" t="s">
        <v>243</v>
      </c>
    </row>
    <row r="1322" spans="1:4" x14ac:dyDescent="0.3">
      <c r="A1322" t="s">
        <v>957</v>
      </c>
      <c r="B1322">
        <v>100556</v>
      </c>
      <c r="C1322" t="s">
        <v>962</v>
      </c>
      <c r="D1322" t="s">
        <v>245</v>
      </c>
    </row>
    <row r="1323" spans="1:4" x14ac:dyDescent="0.3">
      <c r="A1323" t="s">
        <v>957</v>
      </c>
      <c r="B1323">
        <v>100556</v>
      </c>
      <c r="C1323" t="s">
        <v>963</v>
      </c>
      <c r="D1323" t="s">
        <v>443</v>
      </c>
    </row>
    <row r="1324" spans="1:4" x14ac:dyDescent="0.3">
      <c r="A1324" t="s">
        <v>964</v>
      </c>
      <c r="B1324">
        <v>100557</v>
      </c>
      <c r="C1324" t="s">
        <v>958</v>
      </c>
      <c r="D1324" t="s">
        <v>237</v>
      </c>
    </row>
    <row r="1325" spans="1:4" x14ac:dyDescent="0.3">
      <c r="A1325" t="s">
        <v>964</v>
      </c>
      <c r="B1325">
        <v>100557</v>
      </c>
      <c r="C1325" t="s">
        <v>959</v>
      </c>
      <c r="D1325" t="s">
        <v>239</v>
      </c>
    </row>
    <row r="1326" spans="1:4" x14ac:dyDescent="0.3">
      <c r="A1326" t="s">
        <v>964</v>
      </c>
      <c r="B1326">
        <v>100557</v>
      </c>
      <c r="C1326" t="s">
        <v>960</v>
      </c>
      <c r="D1326" t="s">
        <v>241</v>
      </c>
    </row>
    <row r="1327" spans="1:4" x14ac:dyDescent="0.3">
      <c r="A1327" t="s">
        <v>964</v>
      </c>
      <c r="B1327">
        <v>100557</v>
      </c>
      <c r="C1327" t="s">
        <v>961</v>
      </c>
      <c r="D1327" t="s">
        <v>243</v>
      </c>
    </row>
    <row r="1328" spans="1:4" x14ac:dyDescent="0.3">
      <c r="A1328" t="s">
        <v>964</v>
      </c>
      <c r="B1328">
        <v>100557</v>
      </c>
      <c r="C1328" t="s">
        <v>962</v>
      </c>
      <c r="D1328" t="s">
        <v>245</v>
      </c>
    </row>
    <row r="1329" spans="1:4" x14ac:dyDescent="0.3">
      <c r="A1329" t="s">
        <v>964</v>
      </c>
      <c r="B1329">
        <v>100557</v>
      </c>
      <c r="C1329" t="s">
        <v>963</v>
      </c>
      <c r="D1329" t="s">
        <v>443</v>
      </c>
    </row>
    <row r="1330" spans="1:4" x14ac:dyDescent="0.3">
      <c r="A1330" t="s">
        <v>965</v>
      </c>
      <c r="B1330">
        <v>100563</v>
      </c>
      <c r="C1330" t="s">
        <v>966</v>
      </c>
      <c r="D1330" t="s">
        <v>237</v>
      </c>
    </row>
    <row r="1331" spans="1:4" x14ac:dyDescent="0.3">
      <c r="A1331" t="s">
        <v>965</v>
      </c>
      <c r="B1331">
        <v>100563</v>
      </c>
      <c r="C1331" t="s">
        <v>967</v>
      </c>
      <c r="D1331" t="s">
        <v>239</v>
      </c>
    </row>
    <row r="1332" spans="1:4" x14ac:dyDescent="0.3">
      <c r="A1332" t="s">
        <v>965</v>
      </c>
      <c r="B1332">
        <v>100563</v>
      </c>
      <c r="C1332" t="s">
        <v>968</v>
      </c>
      <c r="D1332" t="s">
        <v>241</v>
      </c>
    </row>
    <row r="1333" spans="1:4" x14ac:dyDescent="0.3">
      <c r="A1333" t="s">
        <v>965</v>
      </c>
      <c r="B1333">
        <v>100563</v>
      </c>
      <c r="C1333" t="s">
        <v>969</v>
      </c>
      <c r="D1333" t="s">
        <v>243</v>
      </c>
    </row>
    <row r="1334" spans="1:4" x14ac:dyDescent="0.3">
      <c r="A1334" t="s">
        <v>965</v>
      </c>
      <c r="B1334">
        <v>100563</v>
      </c>
      <c r="C1334" t="s">
        <v>970</v>
      </c>
      <c r="D1334" t="s">
        <v>245</v>
      </c>
    </row>
    <row r="1335" spans="1:4" x14ac:dyDescent="0.3">
      <c r="A1335" t="s">
        <v>965</v>
      </c>
      <c r="B1335">
        <v>100563</v>
      </c>
      <c r="C1335" t="s">
        <v>971</v>
      </c>
      <c r="D1335" t="s">
        <v>443</v>
      </c>
    </row>
    <row r="1336" spans="1:4" x14ac:dyDescent="0.3">
      <c r="A1336" t="s">
        <v>972</v>
      </c>
      <c r="B1336">
        <v>100564</v>
      </c>
      <c r="C1336" t="s">
        <v>966</v>
      </c>
      <c r="D1336" t="s">
        <v>237</v>
      </c>
    </row>
    <row r="1337" spans="1:4" x14ac:dyDescent="0.3">
      <c r="A1337" t="s">
        <v>972</v>
      </c>
      <c r="B1337">
        <v>100564</v>
      </c>
      <c r="C1337" t="s">
        <v>967</v>
      </c>
      <c r="D1337" t="s">
        <v>239</v>
      </c>
    </row>
    <row r="1338" spans="1:4" x14ac:dyDescent="0.3">
      <c r="A1338" t="s">
        <v>972</v>
      </c>
      <c r="B1338">
        <v>100564</v>
      </c>
      <c r="C1338" t="s">
        <v>968</v>
      </c>
      <c r="D1338" t="s">
        <v>241</v>
      </c>
    </row>
    <row r="1339" spans="1:4" x14ac:dyDescent="0.3">
      <c r="A1339" t="s">
        <v>972</v>
      </c>
      <c r="B1339">
        <v>100564</v>
      </c>
      <c r="C1339" t="s">
        <v>969</v>
      </c>
      <c r="D1339" t="s">
        <v>243</v>
      </c>
    </row>
    <row r="1340" spans="1:4" x14ac:dyDescent="0.3">
      <c r="A1340" t="s">
        <v>972</v>
      </c>
      <c r="B1340">
        <v>100564</v>
      </c>
      <c r="C1340" t="s">
        <v>970</v>
      </c>
      <c r="D1340" t="s">
        <v>245</v>
      </c>
    </row>
    <row r="1341" spans="1:4" x14ac:dyDescent="0.3">
      <c r="A1341" t="s">
        <v>972</v>
      </c>
      <c r="B1341">
        <v>100564</v>
      </c>
      <c r="C1341" t="s">
        <v>971</v>
      </c>
      <c r="D1341" t="s">
        <v>443</v>
      </c>
    </row>
    <row r="1342" spans="1:4" x14ac:dyDescent="0.3">
      <c r="A1342" t="s">
        <v>973</v>
      </c>
      <c r="B1342">
        <v>100570</v>
      </c>
      <c r="C1342" t="s">
        <v>974</v>
      </c>
      <c r="D1342" t="s">
        <v>237</v>
      </c>
    </row>
    <row r="1343" spans="1:4" x14ac:dyDescent="0.3">
      <c r="A1343" t="s">
        <v>973</v>
      </c>
      <c r="B1343">
        <v>100570</v>
      </c>
      <c r="C1343" t="s">
        <v>975</v>
      </c>
      <c r="D1343" t="s">
        <v>239</v>
      </c>
    </row>
    <row r="1344" spans="1:4" x14ac:dyDescent="0.3">
      <c r="A1344" t="s">
        <v>973</v>
      </c>
      <c r="B1344">
        <v>100570</v>
      </c>
      <c r="C1344" t="s">
        <v>976</v>
      </c>
      <c r="D1344" t="s">
        <v>241</v>
      </c>
    </row>
    <row r="1345" spans="1:4" x14ac:dyDescent="0.3">
      <c r="A1345" t="s">
        <v>973</v>
      </c>
      <c r="B1345">
        <v>100570</v>
      </c>
      <c r="C1345" t="s">
        <v>977</v>
      </c>
      <c r="D1345" t="s">
        <v>243</v>
      </c>
    </row>
    <row r="1346" spans="1:4" x14ac:dyDescent="0.3">
      <c r="A1346" t="s">
        <v>973</v>
      </c>
      <c r="B1346">
        <v>100570</v>
      </c>
      <c r="C1346" t="s">
        <v>978</v>
      </c>
      <c r="D1346" t="s">
        <v>245</v>
      </c>
    </row>
    <row r="1347" spans="1:4" x14ac:dyDescent="0.3">
      <c r="A1347" t="s">
        <v>973</v>
      </c>
      <c r="B1347">
        <v>100570</v>
      </c>
      <c r="C1347" t="s">
        <v>979</v>
      </c>
      <c r="D1347" t="s">
        <v>443</v>
      </c>
    </row>
    <row r="1348" spans="1:4" x14ac:dyDescent="0.3">
      <c r="A1348" t="s">
        <v>980</v>
      </c>
      <c r="B1348">
        <v>100571</v>
      </c>
      <c r="C1348" t="s">
        <v>974</v>
      </c>
      <c r="D1348" t="s">
        <v>237</v>
      </c>
    </row>
    <row r="1349" spans="1:4" x14ac:dyDescent="0.3">
      <c r="A1349" t="s">
        <v>980</v>
      </c>
      <c r="B1349">
        <v>100571</v>
      </c>
      <c r="C1349" t="s">
        <v>975</v>
      </c>
      <c r="D1349" t="s">
        <v>239</v>
      </c>
    </row>
    <row r="1350" spans="1:4" x14ac:dyDescent="0.3">
      <c r="A1350" t="s">
        <v>980</v>
      </c>
      <c r="B1350">
        <v>100571</v>
      </c>
      <c r="C1350" t="s">
        <v>976</v>
      </c>
      <c r="D1350" t="s">
        <v>241</v>
      </c>
    </row>
    <row r="1351" spans="1:4" x14ac:dyDescent="0.3">
      <c r="A1351" t="s">
        <v>980</v>
      </c>
      <c r="B1351">
        <v>100571</v>
      </c>
      <c r="C1351" t="s">
        <v>977</v>
      </c>
      <c r="D1351" t="s">
        <v>243</v>
      </c>
    </row>
    <row r="1352" spans="1:4" x14ac:dyDescent="0.3">
      <c r="A1352" t="s">
        <v>980</v>
      </c>
      <c r="B1352">
        <v>100571</v>
      </c>
      <c r="C1352" t="s">
        <v>978</v>
      </c>
      <c r="D1352" t="s">
        <v>245</v>
      </c>
    </row>
    <row r="1353" spans="1:4" x14ac:dyDescent="0.3">
      <c r="A1353" t="s">
        <v>980</v>
      </c>
      <c r="B1353">
        <v>100571</v>
      </c>
      <c r="C1353" t="s">
        <v>979</v>
      </c>
      <c r="D1353" t="s">
        <v>443</v>
      </c>
    </row>
    <row r="1354" spans="1:4" x14ac:dyDescent="0.3">
      <c r="A1354" t="s">
        <v>981</v>
      </c>
      <c r="B1354">
        <v>100577</v>
      </c>
      <c r="C1354" t="s">
        <v>982</v>
      </c>
      <c r="D1354" t="s">
        <v>237</v>
      </c>
    </row>
    <row r="1355" spans="1:4" x14ac:dyDescent="0.3">
      <c r="A1355" t="s">
        <v>981</v>
      </c>
      <c r="B1355">
        <v>100577</v>
      </c>
      <c r="C1355" t="s">
        <v>983</v>
      </c>
      <c r="D1355" t="s">
        <v>239</v>
      </c>
    </row>
    <row r="1356" spans="1:4" x14ac:dyDescent="0.3">
      <c r="A1356" t="s">
        <v>981</v>
      </c>
      <c r="B1356">
        <v>100577</v>
      </c>
      <c r="C1356" t="s">
        <v>984</v>
      </c>
      <c r="D1356" t="s">
        <v>241</v>
      </c>
    </row>
    <row r="1357" spans="1:4" x14ac:dyDescent="0.3">
      <c r="A1357" t="s">
        <v>981</v>
      </c>
      <c r="B1357">
        <v>100577</v>
      </c>
      <c r="C1357" t="s">
        <v>985</v>
      </c>
      <c r="D1357" t="s">
        <v>243</v>
      </c>
    </row>
    <row r="1358" spans="1:4" x14ac:dyDescent="0.3">
      <c r="A1358" t="s">
        <v>981</v>
      </c>
      <c r="B1358">
        <v>100577</v>
      </c>
      <c r="C1358" t="s">
        <v>986</v>
      </c>
      <c r="D1358" t="s">
        <v>245</v>
      </c>
    </row>
    <row r="1359" spans="1:4" x14ac:dyDescent="0.3">
      <c r="A1359" t="s">
        <v>981</v>
      </c>
      <c r="B1359">
        <v>100577</v>
      </c>
      <c r="C1359" t="s">
        <v>987</v>
      </c>
      <c r="D1359" t="s">
        <v>443</v>
      </c>
    </row>
    <row r="1360" spans="1:4" x14ac:dyDescent="0.3">
      <c r="A1360" t="s">
        <v>988</v>
      </c>
      <c r="B1360">
        <v>100578</v>
      </c>
      <c r="C1360" t="s">
        <v>982</v>
      </c>
      <c r="D1360" t="s">
        <v>237</v>
      </c>
    </row>
    <row r="1361" spans="1:4" x14ac:dyDescent="0.3">
      <c r="A1361" t="s">
        <v>988</v>
      </c>
      <c r="B1361">
        <v>100578</v>
      </c>
      <c r="C1361" t="s">
        <v>983</v>
      </c>
      <c r="D1361" t="s">
        <v>239</v>
      </c>
    </row>
    <row r="1362" spans="1:4" x14ac:dyDescent="0.3">
      <c r="A1362" t="s">
        <v>988</v>
      </c>
      <c r="B1362">
        <v>100578</v>
      </c>
      <c r="C1362" t="s">
        <v>984</v>
      </c>
      <c r="D1362" t="s">
        <v>241</v>
      </c>
    </row>
    <row r="1363" spans="1:4" x14ac:dyDescent="0.3">
      <c r="A1363" t="s">
        <v>988</v>
      </c>
      <c r="B1363">
        <v>100578</v>
      </c>
      <c r="C1363" t="s">
        <v>985</v>
      </c>
      <c r="D1363" t="s">
        <v>243</v>
      </c>
    </row>
    <row r="1364" spans="1:4" x14ac:dyDescent="0.3">
      <c r="A1364" t="s">
        <v>988</v>
      </c>
      <c r="B1364">
        <v>100578</v>
      </c>
      <c r="C1364" t="s">
        <v>986</v>
      </c>
      <c r="D1364" t="s">
        <v>245</v>
      </c>
    </row>
    <row r="1365" spans="1:4" x14ac:dyDescent="0.3">
      <c r="A1365" t="s">
        <v>988</v>
      </c>
      <c r="B1365">
        <v>100578</v>
      </c>
      <c r="C1365" t="s">
        <v>987</v>
      </c>
      <c r="D1365" t="s">
        <v>443</v>
      </c>
    </row>
    <row r="1366" spans="1:4" x14ac:dyDescent="0.3">
      <c r="A1366" t="s">
        <v>989</v>
      </c>
      <c r="B1366">
        <v>100584</v>
      </c>
      <c r="C1366" t="s">
        <v>990</v>
      </c>
      <c r="D1366" t="s">
        <v>237</v>
      </c>
    </row>
    <row r="1367" spans="1:4" x14ac:dyDescent="0.3">
      <c r="A1367" t="s">
        <v>989</v>
      </c>
      <c r="B1367">
        <v>100584</v>
      </c>
      <c r="C1367" t="s">
        <v>991</v>
      </c>
      <c r="D1367" t="s">
        <v>239</v>
      </c>
    </row>
    <row r="1368" spans="1:4" x14ac:dyDescent="0.3">
      <c r="A1368" t="s">
        <v>989</v>
      </c>
      <c r="B1368">
        <v>100584</v>
      </c>
      <c r="C1368" t="s">
        <v>992</v>
      </c>
      <c r="D1368" t="s">
        <v>241</v>
      </c>
    </row>
    <row r="1369" spans="1:4" x14ac:dyDescent="0.3">
      <c r="A1369" t="s">
        <v>989</v>
      </c>
      <c r="B1369">
        <v>100584</v>
      </c>
      <c r="C1369" t="s">
        <v>993</v>
      </c>
      <c r="D1369" t="s">
        <v>243</v>
      </c>
    </row>
    <row r="1370" spans="1:4" x14ac:dyDescent="0.3">
      <c r="A1370" t="s">
        <v>989</v>
      </c>
      <c r="B1370">
        <v>100584</v>
      </c>
      <c r="C1370" t="s">
        <v>994</v>
      </c>
      <c r="D1370" t="s">
        <v>245</v>
      </c>
    </row>
    <row r="1371" spans="1:4" x14ac:dyDescent="0.3">
      <c r="A1371" t="s">
        <v>989</v>
      </c>
      <c r="B1371">
        <v>100584</v>
      </c>
      <c r="C1371" t="s">
        <v>995</v>
      </c>
      <c r="D1371" t="s">
        <v>443</v>
      </c>
    </row>
    <row r="1372" spans="1:4" x14ac:dyDescent="0.3">
      <c r="A1372" t="s">
        <v>996</v>
      </c>
      <c r="B1372">
        <v>100585</v>
      </c>
      <c r="C1372" t="s">
        <v>990</v>
      </c>
      <c r="D1372" t="s">
        <v>237</v>
      </c>
    </row>
    <row r="1373" spans="1:4" x14ac:dyDescent="0.3">
      <c r="A1373" t="s">
        <v>996</v>
      </c>
      <c r="B1373">
        <v>100585</v>
      </c>
      <c r="C1373" t="s">
        <v>991</v>
      </c>
      <c r="D1373" t="s">
        <v>239</v>
      </c>
    </row>
    <row r="1374" spans="1:4" x14ac:dyDescent="0.3">
      <c r="A1374" t="s">
        <v>996</v>
      </c>
      <c r="B1374">
        <v>100585</v>
      </c>
      <c r="C1374" t="s">
        <v>992</v>
      </c>
      <c r="D1374" t="s">
        <v>241</v>
      </c>
    </row>
    <row r="1375" spans="1:4" x14ac:dyDescent="0.3">
      <c r="A1375" t="s">
        <v>996</v>
      </c>
      <c r="B1375">
        <v>100585</v>
      </c>
      <c r="C1375" t="s">
        <v>993</v>
      </c>
      <c r="D1375" t="s">
        <v>243</v>
      </c>
    </row>
    <row r="1376" spans="1:4" x14ac:dyDescent="0.3">
      <c r="A1376" t="s">
        <v>996</v>
      </c>
      <c r="B1376">
        <v>100585</v>
      </c>
      <c r="C1376" t="s">
        <v>994</v>
      </c>
      <c r="D1376" t="s">
        <v>245</v>
      </c>
    </row>
    <row r="1377" spans="1:4" x14ac:dyDescent="0.3">
      <c r="A1377" t="s">
        <v>996</v>
      </c>
      <c r="B1377">
        <v>100585</v>
      </c>
      <c r="C1377" t="s">
        <v>995</v>
      </c>
      <c r="D1377" t="s">
        <v>443</v>
      </c>
    </row>
    <row r="1378" spans="1:4" x14ac:dyDescent="0.3">
      <c r="A1378" t="s">
        <v>997</v>
      </c>
      <c r="B1378">
        <v>100591</v>
      </c>
      <c r="C1378" t="s">
        <v>998</v>
      </c>
      <c r="D1378" t="s">
        <v>237</v>
      </c>
    </row>
    <row r="1379" spans="1:4" x14ac:dyDescent="0.3">
      <c r="A1379" t="s">
        <v>997</v>
      </c>
      <c r="B1379">
        <v>100591</v>
      </c>
      <c r="C1379" t="s">
        <v>999</v>
      </c>
      <c r="D1379" t="s">
        <v>239</v>
      </c>
    </row>
    <row r="1380" spans="1:4" x14ac:dyDescent="0.3">
      <c r="A1380" t="s">
        <v>997</v>
      </c>
      <c r="B1380">
        <v>100591</v>
      </c>
      <c r="C1380" t="s">
        <v>1000</v>
      </c>
      <c r="D1380" t="s">
        <v>241</v>
      </c>
    </row>
    <row r="1381" spans="1:4" x14ac:dyDescent="0.3">
      <c r="A1381" t="s">
        <v>997</v>
      </c>
      <c r="B1381">
        <v>100591</v>
      </c>
      <c r="C1381" t="s">
        <v>1001</v>
      </c>
      <c r="D1381" t="s">
        <v>243</v>
      </c>
    </row>
    <row r="1382" spans="1:4" x14ac:dyDescent="0.3">
      <c r="A1382" t="s">
        <v>997</v>
      </c>
      <c r="B1382">
        <v>100591</v>
      </c>
      <c r="C1382" t="s">
        <v>1002</v>
      </c>
      <c r="D1382" t="s">
        <v>245</v>
      </c>
    </row>
    <row r="1383" spans="1:4" x14ac:dyDescent="0.3">
      <c r="A1383" t="s">
        <v>997</v>
      </c>
      <c r="B1383">
        <v>100591</v>
      </c>
      <c r="C1383" t="s">
        <v>1003</v>
      </c>
      <c r="D1383" t="s">
        <v>443</v>
      </c>
    </row>
    <row r="1384" spans="1:4" x14ac:dyDescent="0.3">
      <c r="A1384" t="s">
        <v>1004</v>
      </c>
      <c r="B1384">
        <v>100592</v>
      </c>
      <c r="C1384" t="s">
        <v>998</v>
      </c>
      <c r="D1384" t="s">
        <v>237</v>
      </c>
    </row>
    <row r="1385" spans="1:4" x14ac:dyDescent="0.3">
      <c r="A1385" t="s">
        <v>1004</v>
      </c>
      <c r="B1385">
        <v>100592</v>
      </c>
      <c r="C1385" t="s">
        <v>999</v>
      </c>
      <c r="D1385" t="s">
        <v>239</v>
      </c>
    </row>
    <row r="1386" spans="1:4" x14ac:dyDescent="0.3">
      <c r="A1386" t="s">
        <v>1004</v>
      </c>
      <c r="B1386">
        <v>100592</v>
      </c>
      <c r="C1386" t="s">
        <v>1000</v>
      </c>
      <c r="D1386" t="s">
        <v>241</v>
      </c>
    </row>
    <row r="1387" spans="1:4" x14ac:dyDescent="0.3">
      <c r="A1387" t="s">
        <v>1004</v>
      </c>
      <c r="B1387">
        <v>100592</v>
      </c>
      <c r="C1387" t="s">
        <v>1001</v>
      </c>
      <c r="D1387" t="s">
        <v>243</v>
      </c>
    </row>
    <row r="1388" spans="1:4" x14ac:dyDescent="0.3">
      <c r="A1388" t="s">
        <v>1004</v>
      </c>
      <c r="B1388">
        <v>100592</v>
      </c>
      <c r="C1388" t="s">
        <v>1002</v>
      </c>
      <c r="D1388" t="s">
        <v>245</v>
      </c>
    </row>
    <row r="1389" spans="1:4" x14ac:dyDescent="0.3">
      <c r="A1389" t="s">
        <v>1004</v>
      </c>
      <c r="B1389">
        <v>100592</v>
      </c>
      <c r="C1389" t="s">
        <v>1003</v>
      </c>
      <c r="D1389" t="s">
        <v>443</v>
      </c>
    </row>
    <row r="1390" spans="1:4" x14ac:dyDescent="0.3">
      <c r="A1390" t="s">
        <v>1005</v>
      </c>
      <c r="B1390">
        <v>100598</v>
      </c>
      <c r="C1390" t="s">
        <v>1006</v>
      </c>
      <c r="D1390" t="s">
        <v>237</v>
      </c>
    </row>
    <row r="1391" spans="1:4" x14ac:dyDescent="0.3">
      <c r="A1391" t="s">
        <v>1005</v>
      </c>
      <c r="B1391">
        <v>100598</v>
      </c>
      <c r="C1391" t="s">
        <v>1007</v>
      </c>
      <c r="D1391" t="s">
        <v>239</v>
      </c>
    </row>
    <row r="1392" spans="1:4" x14ac:dyDescent="0.3">
      <c r="A1392" t="s">
        <v>1005</v>
      </c>
      <c r="B1392">
        <v>100598</v>
      </c>
      <c r="C1392" t="s">
        <v>1008</v>
      </c>
      <c r="D1392" t="s">
        <v>241</v>
      </c>
    </row>
    <row r="1393" spans="1:4" x14ac:dyDescent="0.3">
      <c r="A1393" t="s">
        <v>1005</v>
      </c>
      <c r="B1393">
        <v>100598</v>
      </c>
      <c r="C1393" t="s">
        <v>1009</v>
      </c>
      <c r="D1393" t="s">
        <v>243</v>
      </c>
    </row>
    <row r="1394" spans="1:4" x14ac:dyDescent="0.3">
      <c r="A1394" t="s">
        <v>1005</v>
      </c>
      <c r="B1394">
        <v>100598</v>
      </c>
      <c r="C1394" t="s">
        <v>1010</v>
      </c>
      <c r="D1394" t="s">
        <v>245</v>
      </c>
    </row>
    <row r="1395" spans="1:4" x14ac:dyDescent="0.3">
      <c r="A1395" t="s">
        <v>1005</v>
      </c>
      <c r="B1395">
        <v>100598</v>
      </c>
      <c r="C1395" t="s">
        <v>1011</v>
      </c>
      <c r="D1395" t="s">
        <v>443</v>
      </c>
    </row>
    <row r="1396" spans="1:4" x14ac:dyDescent="0.3">
      <c r="A1396" t="s">
        <v>1012</v>
      </c>
      <c r="B1396">
        <v>100599</v>
      </c>
      <c r="C1396" t="s">
        <v>1006</v>
      </c>
      <c r="D1396" t="s">
        <v>237</v>
      </c>
    </row>
    <row r="1397" spans="1:4" x14ac:dyDescent="0.3">
      <c r="A1397" t="s">
        <v>1012</v>
      </c>
      <c r="B1397">
        <v>100599</v>
      </c>
      <c r="C1397" t="s">
        <v>1007</v>
      </c>
      <c r="D1397" t="s">
        <v>239</v>
      </c>
    </row>
    <row r="1398" spans="1:4" x14ac:dyDescent="0.3">
      <c r="A1398" t="s">
        <v>1012</v>
      </c>
      <c r="B1398">
        <v>100599</v>
      </c>
      <c r="C1398" t="s">
        <v>1008</v>
      </c>
      <c r="D1398" t="s">
        <v>241</v>
      </c>
    </row>
    <row r="1399" spans="1:4" x14ac:dyDescent="0.3">
      <c r="A1399" t="s">
        <v>1012</v>
      </c>
      <c r="B1399">
        <v>100599</v>
      </c>
      <c r="C1399" t="s">
        <v>1009</v>
      </c>
      <c r="D1399" t="s">
        <v>243</v>
      </c>
    </row>
    <row r="1400" spans="1:4" x14ac:dyDescent="0.3">
      <c r="A1400" t="s">
        <v>1012</v>
      </c>
      <c r="B1400">
        <v>100599</v>
      </c>
      <c r="C1400" t="s">
        <v>1010</v>
      </c>
      <c r="D1400" t="s">
        <v>245</v>
      </c>
    </row>
    <row r="1401" spans="1:4" x14ac:dyDescent="0.3">
      <c r="A1401" t="s">
        <v>1012</v>
      </c>
      <c r="B1401">
        <v>100599</v>
      </c>
      <c r="C1401" t="s">
        <v>1011</v>
      </c>
      <c r="D1401" t="s">
        <v>443</v>
      </c>
    </row>
    <row r="1402" spans="1:4" x14ac:dyDescent="0.3">
      <c r="A1402" t="s">
        <v>1013</v>
      </c>
      <c r="B1402">
        <v>100605</v>
      </c>
      <c r="C1402" t="s">
        <v>1014</v>
      </c>
      <c r="D1402" t="s">
        <v>237</v>
      </c>
    </row>
    <row r="1403" spans="1:4" x14ac:dyDescent="0.3">
      <c r="A1403" t="s">
        <v>1013</v>
      </c>
      <c r="B1403">
        <v>100605</v>
      </c>
      <c r="C1403" t="s">
        <v>1015</v>
      </c>
      <c r="D1403" t="s">
        <v>239</v>
      </c>
    </row>
    <row r="1404" spans="1:4" x14ac:dyDescent="0.3">
      <c r="A1404" t="s">
        <v>1013</v>
      </c>
      <c r="B1404">
        <v>100605</v>
      </c>
      <c r="C1404" t="s">
        <v>1016</v>
      </c>
      <c r="D1404" t="s">
        <v>241</v>
      </c>
    </row>
    <row r="1405" spans="1:4" x14ac:dyDescent="0.3">
      <c r="A1405" t="s">
        <v>1013</v>
      </c>
      <c r="B1405">
        <v>100605</v>
      </c>
      <c r="C1405" t="s">
        <v>1017</v>
      </c>
      <c r="D1405" t="s">
        <v>243</v>
      </c>
    </row>
    <row r="1406" spans="1:4" x14ac:dyDescent="0.3">
      <c r="A1406" t="s">
        <v>1013</v>
      </c>
      <c r="B1406">
        <v>100605</v>
      </c>
      <c r="C1406" t="s">
        <v>1018</v>
      </c>
      <c r="D1406" t="s">
        <v>245</v>
      </c>
    </row>
    <row r="1407" spans="1:4" x14ac:dyDescent="0.3">
      <c r="A1407" t="s">
        <v>1013</v>
      </c>
      <c r="B1407">
        <v>100605</v>
      </c>
      <c r="C1407" t="s">
        <v>1019</v>
      </c>
      <c r="D1407" t="s">
        <v>443</v>
      </c>
    </row>
    <row r="1408" spans="1:4" x14ac:dyDescent="0.3">
      <c r="A1408" t="s">
        <v>1020</v>
      </c>
      <c r="B1408">
        <v>100606</v>
      </c>
      <c r="C1408" t="s">
        <v>1014</v>
      </c>
      <c r="D1408" t="s">
        <v>237</v>
      </c>
    </row>
    <row r="1409" spans="1:4" x14ac:dyDescent="0.3">
      <c r="A1409" t="s">
        <v>1020</v>
      </c>
      <c r="B1409">
        <v>100606</v>
      </c>
      <c r="C1409" t="s">
        <v>1015</v>
      </c>
      <c r="D1409" t="s">
        <v>239</v>
      </c>
    </row>
    <row r="1410" spans="1:4" x14ac:dyDescent="0.3">
      <c r="A1410" t="s">
        <v>1020</v>
      </c>
      <c r="B1410">
        <v>100606</v>
      </c>
      <c r="C1410" t="s">
        <v>1016</v>
      </c>
      <c r="D1410" t="s">
        <v>241</v>
      </c>
    </row>
    <row r="1411" spans="1:4" x14ac:dyDescent="0.3">
      <c r="A1411" t="s">
        <v>1020</v>
      </c>
      <c r="B1411">
        <v>100606</v>
      </c>
      <c r="C1411" t="s">
        <v>1017</v>
      </c>
      <c r="D1411" t="s">
        <v>243</v>
      </c>
    </row>
    <row r="1412" spans="1:4" x14ac:dyDescent="0.3">
      <c r="A1412" t="s">
        <v>1020</v>
      </c>
      <c r="B1412">
        <v>100606</v>
      </c>
      <c r="C1412" t="s">
        <v>1018</v>
      </c>
      <c r="D1412" t="s">
        <v>245</v>
      </c>
    </row>
    <row r="1413" spans="1:4" x14ac:dyDescent="0.3">
      <c r="A1413" t="s">
        <v>1020</v>
      </c>
      <c r="B1413">
        <v>100606</v>
      </c>
      <c r="C1413" t="s">
        <v>1019</v>
      </c>
      <c r="D1413" t="s">
        <v>443</v>
      </c>
    </row>
    <row r="1414" spans="1:4" x14ac:dyDescent="0.3">
      <c r="A1414" t="s">
        <v>1021</v>
      </c>
      <c r="B1414">
        <v>100612</v>
      </c>
      <c r="C1414" t="s">
        <v>1022</v>
      </c>
      <c r="D1414" t="s">
        <v>237</v>
      </c>
    </row>
    <row r="1415" spans="1:4" x14ac:dyDescent="0.3">
      <c r="A1415" t="s">
        <v>1021</v>
      </c>
      <c r="B1415">
        <v>100612</v>
      </c>
      <c r="C1415" t="s">
        <v>1023</v>
      </c>
      <c r="D1415" t="s">
        <v>239</v>
      </c>
    </row>
    <row r="1416" spans="1:4" x14ac:dyDescent="0.3">
      <c r="A1416" t="s">
        <v>1021</v>
      </c>
      <c r="B1416">
        <v>100612</v>
      </c>
      <c r="C1416" t="s">
        <v>1024</v>
      </c>
      <c r="D1416" t="s">
        <v>241</v>
      </c>
    </row>
    <row r="1417" spans="1:4" x14ac:dyDescent="0.3">
      <c r="A1417" t="s">
        <v>1021</v>
      </c>
      <c r="B1417">
        <v>100612</v>
      </c>
      <c r="C1417" t="s">
        <v>1025</v>
      </c>
      <c r="D1417" t="s">
        <v>243</v>
      </c>
    </row>
    <row r="1418" spans="1:4" x14ac:dyDescent="0.3">
      <c r="A1418" t="s">
        <v>1021</v>
      </c>
      <c r="B1418">
        <v>100612</v>
      </c>
      <c r="C1418" t="s">
        <v>1026</v>
      </c>
      <c r="D1418" t="s">
        <v>245</v>
      </c>
    </row>
    <row r="1419" spans="1:4" x14ac:dyDescent="0.3">
      <c r="A1419" t="s">
        <v>1021</v>
      </c>
      <c r="B1419">
        <v>100612</v>
      </c>
      <c r="C1419" t="s">
        <v>1027</v>
      </c>
      <c r="D1419" t="s">
        <v>443</v>
      </c>
    </row>
    <row r="1420" spans="1:4" x14ac:dyDescent="0.3">
      <c r="A1420" t="s">
        <v>1028</v>
      </c>
      <c r="B1420">
        <v>100613</v>
      </c>
      <c r="C1420" t="s">
        <v>1022</v>
      </c>
      <c r="D1420" t="s">
        <v>237</v>
      </c>
    </row>
    <row r="1421" spans="1:4" x14ac:dyDescent="0.3">
      <c r="A1421" t="s">
        <v>1028</v>
      </c>
      <c r="B1421">
        <v>100613</v>
      </c>
      <c r="C1421" t="s">
        <v>1023</v>
      </c>
      <c r="D1421" t="s">
        <v>239</v>
      </c>
    </row>
    <row r="1422" spans="1:4" x14ac:dyDescent="0.3">
      <c r="A1422" t="s">
        <v>1028</v>
      </c>
      <c r="B1422">
        <v>100613</v>
      </c>
      <c r="C1422" t="s">
        <v>1024</v>
      </c>
      <c r="D1422" t="s">
        <v>241</v>
      </c>
    </row>
    <row r="1423" spans="1:4" x14ac:dyDescent="0.3">
      <c r="A1423" t="s">
        <v>1028</v>
      </c>
      <c r="B1423">
        <v>100613</v>
      </c>
      <c r="C1423" t="s">
        <v>1025</v>
      </c>
      <c r="D1423" t="s">
        <v>243</v>
      </c>
    </row>
    <row r="1424" spans="1:4" x14ac:dyDescent="0.3">
      <c r="A1424" t="s">
        <v>1028</v>
      </c>
      <c r="B1424">
        <v>100613</v>
      </c>
      <c r="C1424" t="s">
        <v>1026</v>
      </c>
      <c r="D1424" t="s">
        <v>245</v>
      </c>
    </row>
    <row r="1425" spans="1:4" x14ac:dyDescent="0.3">
      <c r="A1425" t="s">
        <v>1028</v>
      </c>
      <c r="B1425">
        <v>100613</v>
      </c>
      <c r="C1425" t="s">
        <v>1027</v>
      </c>
      <c r="D1425" t="s">
        <v>443</v>
      </c>
    </row>
    <row r="1426" spans="1:4" x14ac:dyDescent="0.3">
      <c r="A1426" t="s">
        <v>1029</v>
      </c>
      <c r="B1426">
        <v>100619</v>
      </c>
      <c r="C1426" t="s">
        <v>1030</v>
      </c>
      <c r="D1426" t="s">
        <v>237</v>
      </c>
    </row>
    <row r="1427" spans="1:4" x14ac:dyDescent="0.3">
      <c r="A1427" t="s">
        <v>1029</v>
      </c>
      <c r="B1427">
        <v>100619</v>
      </c>
      <c r="C1427" t="s">
        <v>1031</v>
      </c>
      <c r="D1427" t="s">
        <v>239</v>
      </c>
    </row>
    <row r="1428" spans="1:4" x14ac:dyDescent="0.3">
      <c r="A1428" t="s">
        <v>1029</v>
      </c>
      <c r="B1428">
        <v>100619</v>
      </c>
      <c r="C1428" t="s">
        <v>1032</v>
      </c>
      <c r="D1428" t="s">
        <v>241</v>
      </c>
    </row>
    <row r="1429" spans="1:4" x14ac:dyDescent="0.3">
      <c r="A1429" t="s">
        <v>1029</v>
      </c>
      <c r="B1429">
        <v>100619</v>
      </c>
      <c r="C1429" t="s">
        <v>1033</v>
      </c>
      <c r="D1429" t="s">
        <v>243</v>
      </c>
    </row>
    <row r="1430" spans="1:4" x14ac:dyDescent="0.3">
      <c r="A1430" t="s">
        <v>1029</v>
      </c>
      <c r="B1430">
        <v>100619</v>
      </c>
      <c r="C1430" t="s">
        <v>1034</v>
      </c>
      <c r="D1430" t="s">
        <v>245</v>
      </c>
    </row>
    <row r="1431" spans="1:4" x14ac:dyDescent="0.3">
      <c r="A1431" t="s">
        <v>1029</v>
      </c>
      <c r="B1431">
        <v>100619</v>
      </c>
      <c r="C1431" t="s">
        <v>1035</v>
      </c>
      <c r="D1431" t="s">
        <v>443</v>
      </c>
    </row>
    <row r="1432" spans="1:4" x14ac:dyDescent="0.3">
      <c r="A1432" t="s">
        <v>1036</v>
      </c>
      <c r="B1432">
        <v>100620</v>
      </c>
      <c r="C1432" t="s">
        <v>1030</v>
      </c>
      <c r="D1432" t="s">
        <v>237</v>
      </c>
    </row>
    <row r="1433" spans="1:4" x14ac:dyDescent="0.3">
      <c r="A1433" t="s">
        <v>1036</v>
      </c>
      <c r="B1433">
        <v>100620</v>
      </c>
      <c r="C1433" t="s">
        <v>1031</v>
      </c>
      <c r="D1433" t="s">
        <v>239</v>
      </c>
    </row>
    <row r="1434" spans="1:4" x14ac:dyDescent="0.3">
      <c r="A1434" t="s">
        <v>1036</v>
      </c>
      <c r="B1434">
        <v>100620</v>
      </c>
      <c r="C1434" t="s">
        <v>1032</v>
      </c>
      <c r="D1434" t="s">
        <v>241</v>
      </c>
    </row>
    <row r="1435" spans="1:4" x14ac:dyDescent="0.3">
      <c r="A1435" t="s">
        <v>1036</v>
      </c>
      <c r="B1435">
        <v>100620</v>
      </c>
      <c r="C1435" t="s">
        <v>1033</v>
      </c>
      <c r="D1435" t="s">
        <v>243</v>
      </c>
    </row>
    <row r="1436" spans="1:4" x14ac:dyDescent="0.3">
      <c r="A1436" t="s">
        <v>1036</v>
      </c>
      <c r="B1436">
        <v>100620</v>
      </c>
      <c r="C1436" t="s">
        <v>1034</v>
      </c>
      <c r="D1436" t="s">
        <v>245</v>
      </c>
    </row>
    <row r="1437" spans="1:4" x14ac:dyDescent="0.3">
      <c r="A1437" t="s">
        <v>1036</v>
      </c>
      <c r="B1437">
        <v>100620</v>
      </c>
      <c r="C1437" t="s">
        <v>1035</v>
      </c>
      <c r="D1437" t="s">
        <v>443</v>
      </c>
    </row>
    <row r="1438" spans="1:4" x14ac:dyDescent="0.3">
      <c r="A1438" t="s">
        <v>1037</v>
      </c>
      <c r="B1438">
        <v>100626</v>
      </c>
      <c r="C1438" t="s">
        <v>1038</v>
      </c>
      <c r="D1438" t="s">
        <v>237</v>
      </c>
    </row>
    <row r="1439" spans="1:4" x14ac:dyDescent="0.3">
      <c r="A1439" t="s">
        <v>1037</v>
      </c>
      <c r="B1439">
        <v>100626</v>
      </c>
      <c r="C1439" t="s">
        <v>1039</v>
      </c>
      <c r="D1439" t="s">
        <v>239</v>
      </c>
    </row>
    <row r="1440" spans="1:4" x14ac:dyDescent="0.3">
      <c r="A1440" t="s">
        <v>1037</v>
      </c>
      <c r="B1440">
        <v>100626</v>
      </c>
      <c r="C1440" t="s">
        <v>1040</v>
      </c>
      <c r="D1440" t="s">
        <v>241</v>
      </c>
    </row>
    <row r="1441" spans="1:4" x14ac:dyDescent="0.3">
      <c r="A1441" t="s">
        <v>1037</v>
      </c>
      <c r="B1441">
        <v>100626</v>
      </c>
      <c r="C1441" t="s">
        <v>1041</v>
      </c>
      <c r="D1441" t="s">
        <v>243</v>
      </c>
    </row>
    <row r="1442" spans="1:4" x14ac:dyDescent="0.3">
      <c r="A1442" t="s">
        <v>1037</v>
      </c>
      <c r="B1442">
        <v>100626</v>
      </c>
      <c r="C1442" t="s">
        <v>1042</v>
      </c>
      <c r="D1442" t="s">
        <v>245</v>
      </c>
    </row>
    <row r="1443" spans="1:4" x14ac:dyDescent="0.3">
      <c r="A1443" t="s">
        <v>1037</v>
      </c>
      <c r="B1443">
        <v>100626</v>
      </c>
      <c r="C1443" t="s">
        <v>1043</v>
      </c>
      <c r="D1443" t="s">
        <v>443</v>
      </c>
    </row>
    <row r="1444" spans="1:4" x14ac:dyDescent="0.3">
      <c r="A1444" t="s">
        <v>1044</v>
      </c>
      <c r="B1444">
        <v>100627</v>
      </c>
      <c r="C1444" t="s">
        <v>1038</v>
      </c>
      <c r="D1444" t="s">
        <v>237</v>
      </c>
    </row>
    <row r="1445" spans="1:4" x14ac:dyDescent="0.3">
      <c r="A1445" t="s">
        <v>1044</v>
      </c>
      <c r="B1445">
        <v>100627</v>
      </c>
      <c r="C1445" t="s">
        <v>1039</v>
      </c>
      <c r="D1445" t="s">
        <v>239</v>
      </c>
    </row>
    <row r="1446" spans="1:4" x14ac:dyDescent="0.3">
      <c r="A1446" t="s">
        <v>1044</v>
      </c>
      <c r="B1446">
        <v>100627</v>
      </c>
      <c r="C1446" t="s">
        <v>1040</v>
      </c>
      <c r="D1446" t="s">
        <v>241</v>
      </c>
    </row>
    <row r="1447" spans="1:4" x14ac:dyDescent="0.3">
      <c r="A1447" t="s">
        <v>1044</v>
      </c>
      <c r="B1447">
        <v>100627</v>
      </c>
      <c r="C1447" t="s">
        <v>1041</v>
      </c>
      <c r="D1447" t="s">
        <v>243</v>
      </c>
    </row>
    <row r="1448" spans="1:4" x14ac:dyDescent="0.3">
      <c r="A1448" t="s">
        <v>1044</v>
      </c>
      <c r="B1448">
        <v>100627</v>
      </c>
      <c r="C1448" t="s">
        <v>1042</v>
      </c>
      <c r="D1448" t="s">
        <v>245</v>
      </c>
    </row>
    <row r="1449" spans="1:4" x14ac:dyDescent="0.3">
      <c r="A1449" t="s">
        <v>1044</v>
      </c>
      <c r="B1449">
        <v>100627</v>
      </c>
      <c r="C1449" t="s">
        <v>1043</v>
      </c>
      <c r="D1449" t="s">
        <v>443</v>
      </c>
    </row>
    <row r="1450" spans="1:4" x14ac:dyDescent="0.3">
      <c r="A1450" t="s">
        <v>1045</v>
      </c>
      <c r="B1450">
        <v>100633</v>
      </c>
      <c r="C1450" t="s">
        <v>1046</v>
      </c>
      <c r="D1450" t="s">
        <v>237</v>
      </c>
    </row>
    <row r="1451" spans="1:4" x14ac:dyDescent="0.3">
      <c r="A1451" t="s">
        <v>1045</v>
      </c>
      <c r="B1451">
        <v>100633</v>
      </c>
      <c r="C1451" t="s">
        <v>1047</v>
      </c>
      <c r="D1451" t="s">
        <v>239</v>
      </c>
    </row>
    <row r="1452" spans="1:4" x14ac:dyDescent="0.3">
      <c r="A1452" t="s">
        <v>1045</v>
      </c>
      <c r="B1452">
        <v>100633</v>
      </c>
      <c r="C1452" t="s">
        <v>1048</v>
      </c>
      <c r="D1452" t="s">
        <v>241</v>
      </c>
    </row>
    <row r="1453" spans="1:4" x14ac:dyDescent="0.3">
      <c r="A1453" t="s">
        <v>1045</v>
      </c>
      <c r="B1453">
        <v>100633</v>
      </c>
      <c r="C1453" t="s">
        <v>1049</v>
      </c>
      <c r="D1453" t="s">
        <v>243</v>
      </c>
    </row>
    <row r="1454" spans="1:4" x14ac:dyDescent="0.3">
      <c r="A1454" t="s">
        <v>1045</v>
      </c>
      <c r="B1454">
        <v>100633</v>
      </c>
      <c r="C1454" t="s">
        <v>1050</v>
      </c>
      <c r="D1454" t="s">
        <v>245</v>
      </c>
    </row>
    <row r="1455" spans="1:4" x14ac:dyDescent="0.3">
      <c r="A1455" t="s">
        <v>1045</v>
      </c>
      <c r="B1455">
        <v>100633</v>
      </c>
      <c r="C1455" t="s">
        <v>1051</v>
      </c>
      <c r="D1455" t="s">
        <v>443</v>
      </c>
    </row>
    <row r="1456" spans="1:4" x14ac:dyDescent="0.3">
      <c r="A1456" t="s">
        <v>1052</v>
      </c>
      <c r="B1456">
        <v>100634</v>
      </c>
      <c r="C1456" t="s">
        <v>1046</v>
      </c>
      <c r="D1456" t="s">
        <v>237</v>
      </c>
    </row>
    <row r="1457" spans="1:4" x14ac:dyDescent="0.3">
      <c r="A1457" t="s">
        <v>1052</v>
      </c>
      <c r="B1457">
        <v>100634</v>
      </c>
      <c r="C1457" t="s">
        <v>1047</v>
      </c>
      <c r="D1457" t="s">
        <v>239</v>
      </c>
    </row>
    <row r="1458" spans="1:4" x14ac:dyDescent="0.3">
      <c r="A1458" t="s">
        <v>1052</v>
      </c>
      <c r="B1458">
        <v>100634</v>
      </c>
      <c r="C1458" t="s">
        <v>1048</v>
      </c>
      <c r="D1458" t="s">
        <v>241</v>
      </c>
    </row>
    <row r="1459" spans="1:4" x14ac:dyDescent="0.3">
      <c r="A1459" t="s">
        <v>1052</v>
      </c>
      <c r="B1459">
        <v>100634</v>
      </c>
      <c r="C1459" t="s">
        <v>1049</v>
      </c>
      <c r="D1459" t="s">
        <v>243</v>
      </c>
    </row>
    <row r="1460" spans="1:4" x14ac:dyDescent="0.3">
      <c r="A1460" t="s">
        <v>1052</v>
      </c>
      <c r="B1460">
        <v>100634</v>
      </c>
      <c r="C1460" t="s">
        <v>1050</v>
      </c>
      <c r="D1460" t="s">
        <v>245</v>
      </c>
    </row>
    <row r="1461" spans="1:4" x14ac:dyDescent="0.3">
      <c r="A1461" t="s">
        <v>1052</v>
      </c>
      <c r="B1461">
        <v>100634</v>
      </c>
      <c r="C1461" t="s">
        <v>1051</v>
      </c>
      <c r="D1461" t="s">
        <v>443</v>
      </c>
    </row>
    <row r="1462" spans="1:4" x14ac:dyDescent="0.3">
      <c r="A1462" t="s">
        <v>1053</v>
      </c>
      <c r="B1462">
        <v>100640</v>
      </c>
      <c r="C1462" t="s">
        <v>1054</v>
      </c>
      <c r="D1462" t="s">
        <v>237</v>
      </c>
    </row>
    <row r="1463" spans="1:4" x14ac:dyDescent="0.3">
      <c r="A1463" t="s">
        <v>1053</v>
      </c>
      <c r="B1463">
        <v>100640</v>
      </c>
      <c r="C1463" t="s">
        <v>1055</v>
      </c>
      <c r="D1463" t="s">
        <v>239</v>
      </c>
    </row>
    <row r="1464" spans="1:4" x14ac:dyDescent="0.3">
      <c r="A1464" t="s">
        <v>1053</v>
      </c>
      <c r="B1464">
        <v>100640</v>
      </c>
      <c r="C1464" t="s">
        <v>1056</v>
      </c>
      <c r="D1464" t="s">
        <v>241</v>
      </c>
    </row>
    <row r="1465" spans="1:4" x14ac:dyDescent="0.3">
      <c r="A1465" t="s">
        <v>1053</v>
      </c>
      <c r="B1465">
        <v>100640</v>
      </c>
      <c r="C1465" t="s">
        <v>1057</v>
      </c>
      <c r="D1465" t="s">
        <v>243</v>
      </c>
    </row>
    <row r="1466" spans="1:4" x14ac:dyDescent="0.3">
      <c r="A1466" t="s">
        <v>1053</v>
      </c>
      <c r="B1466">
        <v>100640</v>
      </c>
      <c r="C1466" t="s">
        <v>1058</v>
      </c>
      <c r="D1466" t="s">
        <v>245</v>
      </c>
    </row>
    <row r="1467" spans="1:4" x14ac:dyDescent="0.3">
      <c r="A1467" t="s">
        <v>1053</v>
      </c>
      <c r="B1467">
        <v>100640</v>
      </c>
      <c r="C1467" t="s">
        <v>1059</v>
      </c>
      <c r="D1467" t="s">
        <v>443</v>
      </c>
    </row>
    <row r="1468" spans="1:4" x14ac:dyDescent="0.3">
      <c r="A1468" t="s">
        <v>1060</v>
      </c>
      <c r="B1468">
        <v>100641</v>
      </c>
      <c r="C1468" t="s">
        <v>1054</v>
      </c>
      <c r="D1468" t="s">
        <v>237</v>
      </c>
    </row>
    <row r="1469" spans="1:4" x14ac:dyDescent="0.3">
      <c r="A1469" t="s">
        <v>1060</v>
      </c>
      <c r="B1469">
        <v>100641</v>
      </c>
      <c r="C1469" t="s">
        <v>1061</v>
      </c>
      <c r="D1469" t="s">
        <v>239</v>
      </c>
    </row>
    <row r="1470" spans="1:4" x14ac:dyDescent="0.3">
      <c r="A1470" t="s">
        <v>1060</v>
      </c>
      <c r="B1470">
        <v>100641</v>
      </c>
      <c r="C1470" t="s">
        <v>1062</v>
      </c>
      <c r="D1470" t="s">
        <v>241</v>
      </c>
    </row>
    <row r="1471" spans="1:4" x14ac:dyDescent="0.3">
      <c r="A1471" t="s">
        <v>1060</v>
      </c>
      <c r="B1471">
        <v>100641</v>
      </c>
      <c r="C1471" t="s">
        <v>1057</v>
      </c>
      <c r="D1471" t="s">
        <v>243</v>
      </c>
    </row>
    <row r="1472" spans="1:4" x14ac:dyDescent="0.3">
      <c r="A1472" t="s">
        <v>1060</v>
      </c>
      <c r="B1472">
        <v>100641</v>
      </c>
      <c r="C1472" t="s">
        <v>1058</v>
      </c>
      <c r="D1472" t="s">
        <v>245</v>
      </c>
    </row>
    <row r="1473" spans="1:4" x14ac:dyDescent="0.3">
      <c r="A1473" t="s">
        <v>1060</v>
      </c>
      <c r="B1473">
        <v>100641</v>
      </c>
      <c r="C1473" t="s">
        <v>1059</v>
      </c>
      <c r="D1473" t="s">
        <v>443</v>
      </c>
    </row>
    <row r="1474" spans="1:4" x14ac:dyDescent="0.3">
      <c r="A1474" t="s">
        <v>1063</v>
      </c>
      <c r="B1474">
        <v>100288</v>
      </c>
      <c r="C1474" t="s">
        <v>1064</v>
      </c>
      <c r="D1474" t="s">
        <v>1064</v>
      </c>
    </row>
    <row r="1475" spans="1:4" x14ac:dyDescent="0.3">
      <c r="A1475" t="s">
        <v>1063</v>
      </c>
      <c r="B1475">
        <v>100288</v>
      </c>
      <c r="C1475" t="s">
        <v>696</v>
      </c>
      <c r="D1475" t="s">
        <v>696</v>
      </c>
    </row>
    <row r="1476" spans="1:4" x14ac:dyDescent="0.3">
      <c r="A1476" t="s">
        <v>1063</v>
      </c>
      <c r="B1476">
        <v>100288</v>
      </c>
      <c r="C1476" t="s">
        <v>697</v>
      </c>
      <c r="D1476" t="s">
        <v>697</v>
      </c>
    </row>
    <row r="1477" spans="1:4" x14ac:dyDescent="0.3">
      <c r="A1477" t="s">
        <v>1063</v>
      </c>
      <c r="B1477">
        <v>100288</v>
      </c>
      <c r="C1477" t="s">
        <v>698</v>
      </c>
      <c r="D1477" t="s">
        <v>698</v>
      </c>
    </row>
    <row r="1478" spans="1:4" x14ac:dyDescent="0.3">
      <c r="A1478" t="s">
        <v>1065</v>
      </c>
      <c r="B1478">
        <v>100294</v>
      </c>
      <c r="C1478" t="s">
        <v>1066</v>
      </c>
      <c r="D1478" t="s">
        <v>1066</v>
      </c>
    </row>
    <row r="1479" spans="1:4" x14ac:dyDescent="0.3">
      <c r="A1479" t="s">
        <v>1065</v>
      </c>
      <c r="B1479">
        <v>100294</v>
      </c>
      <c r="C1479" t="s">
        <v>419</v>
      </c>
      <c r="D1479" t="s">
        <v>419</v>
      </c>
    </row>
    <row r="1480" spans="1:4" x14ac:dyDescent="0.3">
      <c r="A1480" t="s">
        <v>1065</v>
      </c>
      <c r="B1480">
        <v>100294</v>
      </c>
      <c r="C1480" t="s">
        <v>1067</v>
      </c>
      <c r="D1480" t="s">
        <v>1067</v>
      </c>
    </row>
    <row r="1481" spans="1:4" x14ac:dyDescent="0.3">
      <c r="A1481" t="s">
        <v>1065</v>
      </c>
      <c r="B1481">
        <v>100294</v>
      </c>
      <c r="C1481" t="s">
        <v>1068</v>
      </c>
      <c r="D1481" t="s">
        <v>1068</v>
      </c>
    </row>
    <row r="1482" spans="1:4" x14ac:dyDescent="0.3">
      <c r="A1482" t="s">
        <v>1065</v>
      </c>
      <c r="B1482">
        <v>100294</v>
      </c>
      <c r="C1482" t="s">
        <v>1069</v>
      </c>
      <c r="D1482" t="s">
        <v>1069</v>
      </c>
    </row>
    <row r="1483" spans="1:4" x14ac:dyDescent="0.3">
      <c r="A1483" t="s">
        <v>1065</v>
      </c>
      <c r="B1483">
        <v>100294</v>
      </c>
      <c r="C1483" t="s">
        <v>1070</v>
      </c>
      <c r="D1483" t="s">
        <v>1070</v>
      </c>
    </row>
    <row r="1484" spans="1:4" x14ac:dyDescent="0.3">
      <c r="A1484" t="s">
        <v>1065</v>
      </c>
      <c r="B1484">
        <v>100294</v>
      </c>
      <c r="C1484" t="s">
        <v>152</v>
      </c>
      <c r="D1484" t="s">
        <v>152</v>
      </c>
    </row>
    <row r="1485" spans="1:4" x14ac:dyDescent="0.3">
      <c r="A1485" t="s">
        <v>1071</v>
      </c>
      <c r="B1485">
        <v>100299</v>
      </c>
      <c r="C1485" t="s">
        <v>209</v>
      </c>
      <c r="D1485" t="s">
        <v>209</v>
      </c>
    </row>
    <row r="1486" spans="1:4" x14ac:dyDescent="0.3">
      <c r="A1486" t="s">
        <v>1071</v>
      </c>
      <c r="B1486">
        <v>100299</v>
      </c>
      <c r="C1486" t="s">
        <v>1072</v>
      </c>
      <c r="D1486" t="s">
        <v>1072</v>
      </c>
    </row>
    <row r="1487" spans="1:4" x14ac:dyDescent="0.3">
      <c r="A1487" t="s">
        <v>1071</v>
      </c>
      <c r="B1487">
        <v>100299</v>
      </c>
      <c r="C1487" t="s">
        <v>212</v>
      </c>
      <c r="D1487" t="s">
        <v>212</v>
      </c>
    </row>
    <row r="1488" spans="1:4" x14ac:dyDescent="0.3">
      <c r="A1488" t="s">
        <v>1071</v>
      </c>
      <c r="B1488">
        <v>100299</v>
      </c>
      <c r="C1488" t="s">
        <v>592</v>
      </c>
      <c r="D1488" t="s">
        <v>592</v>
      </c>
    </row>
    <row r="1489" spans="1:4" x14ac:dyDescent="0.3">
      <c r="A1489" t="s">
        <v>1073</v>
      </c>
      <c r="B1489">
        <v>100289</v>
      </c>
      <c r="C1489" t="s">
        <v>1074</v>
      </c>
      <c r="D1489" t="s">
        <v>1074</v>
      </c>
    </row>
    <row r="1490" spans="1:4" x14ac:dyDescent="0.3">
      <c r="A1490" t="s">
        <v>1073</v>
      </c>
      <c r="B1490">
        <v>100289</v>
      </c>
      <c r="C1490" t="s">
        <v>1075</v>
      </c>
      <c r="D1490" t="s">
        <v>1075</v>
      </c>
    </row>
    <row r="1491" spans="1:4" x14ac:dyDescent="0.3">
      <c r="A1491" t="s">
        <v>1073</v>
      </c>
      <c r="B1491">
        <v>100289</v>
      </c>
      <c r="C1491" t="s">
        <v>1076</v>
      </c>
      <c r="D1491" t="s">
        <v>1076</v>
      </c>
    </row>
    <row r="1492" spans="1:4" x14ac:dyDescent="0.3">
      <c r="A1492" t="s">
        <v>1073</v>
      </c>
      <c r="B1492">
        <v>100289</v>
      </c>
      <c r="C1492" t="s">
        <v>1077</v>
      </c>
      <c r="D1492" t="s">
        <v>1077</v>
      </c>
    </row>
    <row r="1493" spans="1:4" x14ac:dyDescent="0.3">
      <c r="A1493" t="s">
        <v>763</v>
      </c>
      <c r="B1493">
        <v>100290</v>
      </c>
      <c r="C1493" t="s">
        <v>1078</v>
      </c>
      <c r="D1493" t="s">
        <v>239</v>
      </c>
    </row>
    <row r="1494" spans="1:4" x14ac:dyDescent="0.3">
      <c r="A1494" t="s">
        <v>763</v>
      </c>
      <c r="B1494">
        <v>100417</v>
      </c>
      <c r="C1494" t="s">
        <v>1078</v>
      </c>
      <c r="D1494" t="s">
        <v>239</v>
      </c>
    </row>
    <row r="1495" spans="1:4" x14ac:dyDescent="0.3">
      <c r="A1495" t="s">
        <v>1079</v>
      </c>
      <c r="B1495">
        <v>100002</v>
      </c>
      <c r="C1495" t="s">
        <v>1080</v>
      </c>
      <c r="D1495" t="s">
        <v>1080</v>
      </c>
    </row>
    <row r="1496" spans="1:4" x14ac:dyDescent="0.3">
      <c r="A1496" t="s">
        <v>1079</v>
      </c>
      <c r="B1496">
        <v>100002</v>
      </c>
      <c r="C1496" t="s">
        <v>1081</v>
      </c>
      <c r="D1496" t="s">
        <v>1081</v>
      </c>
    </row>
    <row r="1497" spans="1:4" x14ac:dyDescent="0.3">
      <c r="A1497" t="s">
        <v>1079</v>
      </c>
      <c r="B1497">
        <v>100002</v>
      </c>
      <c r="C1497" t="s">
        <v>1082</v>
      </c>
      <c r="D1497" t="s">
        <v>1083</v>
      </c>
    </row>
    <row r="1498" spans="1:4" x14ac:dyDescent="0.3">
      <c r="A1498" t="s">
        <v>1079</v>
      </c>
      <c r="B1498">
        <v>100002</v>
      </c>
      <c r="C1498" t="s">
        <v>464</v>
      </c>
      <c r="D1498" t="s">
        <v>464</v>
      </c>
    </row>
    <row r="1499" spans="1:4" x14ac:dyDescent="0.3">
      <c r="A1499" t="s">
        <v>1079</v>
      </c>
      <c r="B1499">
        <v>100002</v>
      </c>
      <c r="C1499" t="s">
        <v>1084</v>
      </c>
      <c r="D1499" t="s">
        <v>1084</v>
      </c>
    </row>
    <row r="1500" spans="1:4" x14ac:dyDescent="0.3">
      <c r="A1500" t="s">
        <v>1079</v>
      </c>
      <c r="B1500">
        <v>100002</v>
      </c>
      <c r="C1500" t="s">
        <v>1085</v>
      </c>
      <c r="D1500" t="s">
        <v>1080</v>
      </c>
    </row>
    <row r="1501" spans="1:4" x14ac:dyDescent="0.3">
      <c r="A1501" t="s">
        <v>1079</v>
      </c>
      <c r="B1501">
        <v>100002</v>
      </c>
      <c r="C1501" t="s">
        <v>465</v>
      </c>
      <c r="D1501" t="s">
        <v>465</v>
      </c>
    </row>
    <row r="1502" spans="1:4" x14ac:dyDescent="0.3">
      <c r="A1502" t="s">
        <v>1079</v>
      </c>
      <c r="B1502">
        <v>100002</v>
      </c>
      <c r="C1502" t="s">
        <v>466</v>
      </c>
      <c r="D1502" t="s">
        <v>466</v>
      </c>
    </row>
    <row r="1503" spans="1:4" x14ac:dyDescent="0.3">
      <c r="A1503" t="s">
        <v>1079</v>
      </c>
      <c r="B1503">
        <v>100002</v>
      </c>
      <c r="C1503" t="s">
        <v>1086</v>
      </c>
      <c r="D1503" t="s">
        <v>1086</v>
      </c>
    </row>
    <row r="1504" spans="1:4" x14ac:dyDescent="0.3">
      <c r="A1504" t="s">
        <v>1079</v>
      </c>
      <c r="B1504">
        <v>100002</v>
      </c>
      <c r="C1504" t="s">
        <v>1087</v>
      </c>
      <c r="D1504" t="s">
        <v>1087</v>
      </c>
    </row>
    <row r="1505" spans="1:4" x14ac:dyDescent="0.3">
      <c r="A1505" t="s">
        <v>1079</v>
      </c>
      <c r="B1505">
        <v>100002</v>
      </c>
      <c r="C1505" t="s">
        <v>1088</v>
      </c>
      <c r="D1505" t="s">
        <v>1088</v>
      </c>
    </row>
    <row r="1506" spans="1:4" x14ac:dyDescent="0.3">
      <c r="A1506" t="s">
        <v>1079</v>
      </c>
      <c r="B1506">
        <v>100002</v>
      </c>
      <c r="C1506" t="s">
        <v>1089</v>
      </c>
      <c r="D1506" t="s">
        <v>1089</v>
      </c>
    </row>
    <row r="1507" spans="1:4" x14ac:dyDescent="0.3">
      <c r="A1507" t="s">
        <v>1079</v>
      </c>
      <c r="B1507">
        <v>100002</v>
      </c>
      <c r="C1507" t="s">
        <v>152</v>
      </c>
      <c r="D1507" t="s">
        <v>152</v>
      </c>
    </row>
    <row r="1508" spans="1:4" x14ac:dyDescent="0.3">
      <c r="A1508" t="s">
        <v>1090</v>
      </c>
      <c r="B1508">
        <v>100647</v>
      </c>
      <c r="C1508" t="s">
        <v>689</v>
      </c>
      <c r="D1508" t="s">
        <v>237</v>
      </c>
    </row>
    <row r="1509" spans="1:4" x14ac:dyDescent="0.3">
      <c r="A1509" t="s">
        <v>1090</v>
      </c>
      <c r="B1509">
        <v>100647</v>
      </c>
      <c r="C1509" t="s">
        <v>684</v>
      </c>
      <c r="D1509" t="s">
        <v>239</v>
      </c>
    </row>
    <row r="1510" spans="1:4" x14ac:dyDescent="0.3">
      <c r="A1510" t="s">
        <v>1090</v>
      </c>
      <c r="B1510">
        <v>100647</v>
      </c>
      <c r="C1510" t="s">
        <v>685</v>
      </c>
      <c r="D1510" t="s">
        <v>241</v>
      </c>
    </row>
    <row r="1511" spans="1:4" x14ac:dyDescent="0.3">
      <c r="A1511" t="s">
        <v>1090</v>
      </c>
      <c r="B1511">
        <v>100647</v>
      </c>
      <c r="C1511" t="s">
        <v>686</v>
      </c>
      <c r="D1511" t="s">
        <v>243</v>
      </c>
    </row>
    <row r="1512" spans="1:4" x14ac:dyDescent="0.3">
      <c r="A1512" t="s">
        <v>1090</v>
      </c>
      <c r="B1512">
        <v>100647</v>
      </c>
      <c r="C1512" t="s">
        <v>691</v>
      </c>
      <c r="D1512" t="s">
        <v>245</v>
      </c>
    </row>
    <row r="1513" spans="1:4" x14ac:dyDescent="0.3">
      <c r="A1513" t="s">
        <v>1090</v>
      </c>
      <c r="B1513">
        <v>100647</v>
      </c>
      <c r="C1513" t="s">
        <v>692</v>
      </c>
      <c r="D1513" t="s">
        <v>443</v>
      </c>
    </row>
    <row r="1514" spans="1:4" x14ac:dyDescent="0.3">
      <c r="A1514" t="s">
        <v>1091</v>
      </c>
      <c r="B1514">
        <v>100648</v>
      </c>
      <c r="C1514" t="s">
        <v>689</v>
      </c>
      <c r="D1514" t="s">
        <v>237</v>
      </c>
    </row>
    <row r="1515" spans="1:4" x14ac:dyDescent="0.3">
      <c r="A1515" t="s">
        <v>1091</v>
      </c>
      <c r="B1515">
        <v>100648</v>
      </c>
      <c r="C1515" t="s">
        <v>684</v>
      </c>
      <c r="D1515" t="s">
        <v>239</v>
      </c>
    </row>
    <row r="1516" spans="1:4" x14ac:dyDescent="0.3">
      <c r="A1516" t="s">
        <v>1091</v>
      </c>
      <c r="B1516">
        <v>100648</v>
      </c>
      <c r="C1516" t="s">
        <v>685</v>
      </c>
      <c r="D1516" t="s">
        <v>241</v>
      </c>
    </row>
    <row r="1517" spans="1:4" x14ac:dyDescent="0.3">
      <c r="A1517" t="s">
        <v>1091</v>
      </c>
      <c r="B1517">
        <v>100648</v>
      </c>
      <c r="C1517" t="s">
        <v>686</v>
      </c>
      <c r="D1517" t="s">
        <v>243</v>
      </c>
    </row>
    <row r="1518" spans="1:4" x14ac:dyDescent="0.3">
      <c r="A1518" t="s">
        <v>1091</v>
      </c>
      <c r="B1518">
        <v>100648</v>
      </c>
      <c r="C1518" t="s">
        <v>691</v>
      </c>
      <c r="D1518" t="s">
        <v>245</v>
      </c>
    </row>
    <row r="1519" spans="1:4" x14ac:dyDescent="0.3">
      <c r="A1519" t="s">
        <v>1091</v>
      </c>
      <c r="B1519">
        <v>100648</v>
      </c>
      <c r="C1519" t="s">
        <v>692</v>
      </c>
      <c r="D1519" t="s">
        <v>443</v>
      </c>
    </row>
    <row r="1520" spans="1:4" x14ac:dyDescent="0.3">
      <c r="A1520" t="s">
        <v>112</v>
      </c>
      <c r="B1520">
        <v>100063</v>
      </c>
      <c r="C1520" t="s">
        <v>178</v>
      </c>
      <c r="D1520" t="s">
        <v>1092</v>
      </c>
    </row>
    <row r="1521" spans="1:4" x14ac:dyDescent="0.3">
      <c r="A1521" t="s">
        <v>112</v>
      </c>
      <c r="B1521">
        <v>100063</v>
      </c>
      <c r="C1521" t="s">
        <v>122</v>
      </c>
      <c r="D1521" t="s">
        <v>1093</v>
      </c>
    </row>
    <row r="1522" spans="1:4" x14ac:dyDescent="0.3">
      <c r="A1522" t="s">
        <v>112</v>
      </c>
      <c r="B1522">
        <v>100063</v>
      </c>
      <c r="C1522" t="s">
        <v>124</v>
      </c>
      <c r="D1522" t="s">
        <v>1094</v>
      </c>
    </row>
    <row r="1523" spans="1:4" x14ac:dyDescent="0.3">
      <c r="A1523" t="s">
        <v>112</v>
      </c>
      <c r="B1523">
        <v>100063</v>
      </c>
      <c r="C1523" t="s">
        <v>119</v>
      </c>
      <c r="D1523" t="s">
        <v>1095</v>
      </c>
    </row>
    <row r="1524" spans="1:4" x14ac:dyDescent="0.3">
      <c r="A1524" t="s">
        <v>647</v>
      </c>
      <c r="B1524">
        <v>100331</v>
      </c>
      <c r="C1524" t="s">
        <v>1096</v>
      </c>
      <c r="D1524" t="s">
        <v>1096</v>
      </c>
    </row>
    <row r="1525" spans="1:4" x14ac:dyDescent="0.3">
      <c r="A1525" t="s">
        <v>647</v>
      </c>
      <c r="B1525">
        <v>100331</v>
      </c>
      <c r="C1525" t="s">
        <v>1097</v>
      </c>
      <c r="D1525" t="s">
        <v>1097</v>
      </c>
    </row>
    <row r="1526" spans="1:4" x14ac:dyDescent="0.3">
      <c r="A1526" t="s">
        <v>647</v>
      </c>
      <c r="B1526">
        <v>100331</v>
      </c>
      <c r="C1526" t="s">
        <v>1098</v>
      </c>
      <c r="D1526" t="s">
        <v>1098</v>
      </c>
    </row>
    <row r="1527" spans="1:4" x14ac:dyDescent="0.3">
      <c r="A1527" t="s">
        <v>1099</v>
      </c>
      <c r="B1527">
        <v>100291</v>
      </c>
      <c r="C1527" t="s">
        <v>1100</v>
      </c>
      <c r="D1527" t="s">
        <v>239</v>
      </c>
    </row>
    <row r="1528" spans="1:4" x14ac:dyDescent="0.3">
      <c r="A1528" t="s">
        <v>1099</v>
      </c>
      <c r="B1528">
        <v>100291</v>
      </c>
      <c r="C1528" t="s">
        <v>1101</v>
      </c>
      <c r="D1528" t="s">
        <v>241</v>
      </c>
    </row>
    <row r="1529" spans="1:4" x14ac:dyDescent="0.3">
      <c r="A1529" t="s">
        <v>1099</v>
      </c>
      <c r="B1529">
        <v>100291</v>
      </c>
      <c r="C1529" t="s">
        <v>1102</v>
      </c>
      <c r="D1529" t="s">
        <v>243</v>
      </c>
    </row>
    <row r="1530" spans="1:4" x14ac:dyDescent="0.3">
      <c r="A1530" t="s">
        <v>1099</v>
      </c>
      <c r="B1530">
        <v>100291</v>
      </c>
      <c r="C1530" t="s">
        <v>1103</v>
      </c>
      <c r="D1530" t="s">
        <v>245</v>
      </c>
    </row>
    <row r="1531" spans="1:4" x14ac:dyDescent="0.3">
      <c r="A1531" t="s">
        <v>1099</v>
      </c>
      <c r="B1531">
        <v>100291</v>
      </c>
      <c r="C1531" t="s">
        <v>152</v>
      </c>
      <c r="D1531" t="s">
        <v>443</v>
      </c>
    </row>
    <row r="1532" spans="1:4" x14ac:dyDescent="0.3">
      <c r="A1532" t="s">
        <v>1099</v>
      </c>
      <c r="B1532">
        <v>100291</v>
      </c>
      <c r="C1532" t="s">
        <v>299</v>
      </c>
      <c r="D1532" t="s">
        <v>237</v>
      </c>
    </row>
    <row r="1533" spans="1:4" x14ac:dyDescent="0.3">
      <c r="A1533" t="s">
        <v>1104</v>
      </c>
      <c r="B1533">
        <v>100351</v>
      </c>
      <c r="C1533" t="s">
        <v>1105</v>
      </c>
      <c r="D1533" t="s">
        <v>1105</v>
      </c>
    </row>
    <row r="1534" spans="1:4" x14ac:dyDescent="0.3">
      <c r="A1534" t="s">
        <v>1104</v>
      </c>
      <c r="B1534">
        <v>100351</v>
      </c>
      <c r="C1534" t="s">
        <v>1106</v>
      </c>
      <c r="D1534" t="s">
        <v>1106</v>
      </c>
    </row>
    <row r="1535" spans="1:4" x14ac:dyDescent="0.3">
      <c r="A1535" t="s">
        <v>1104</v>
      </c>
      <c r="B1535">
        <v>100351</v>
      </c>
      <c r="C1535" t="s">
        <v>596</v>
      </c>
      <c r="D1535" t="s">
        <v>596</v>
      </c>
    </row>
    <row r="1536" spans="1:4" x14ac:dyDescent="0.3">
      <c r="A1536" t="s">
        <v>1104</v>
      </c>
      <c r="B1536">
        <v>100351</v>
      </c>
      <c r="C1536" t="s">
        <v>597</v>
      </c>
      <c r="D1536" t="s">
        <v>597</v>
      </c>
    </row>
    <row r="1537" spans="1:4" x14ac:dyDescent="0.3">
      <c r="A1537" t="s">
        <v>1107</v>
      </c>
      <c r="B1537">
        <v>100352</v>
      </c>
      <c r="C1537" t="s">
        <v>432</v>
      </c>
      <c r="D1537" t="s">
        <v>432</v>
      </c>
    </row>
    <row r="1538" spans="1:4" x14ac:dyDescent="0.3">
      <c r="A1538" t="s">
        <v>1107</v>
      </c>
      <c r="B1538">
        <v>100352</v>
      </c>
      <c r="C1538" t="s">
        <v>1108</v>
      </c>
      <c r="D1538" t="s">
        <v>1108</v>
      </c>
    </row>
    <row r="1539" spans="1:4" x14ac:dyDescent="0.3">
      <c r="A1539" t="s">
        <v>1107</v>
      </c>
      <c r="B1539">
        <v>100352</v>
      </c>
      <c r="C1539" t="s">
        <v>431</v>
      </c>
      <c r="D1539" t="s">
        <v>431</v>
      </c>
    </row>
    <row r="1540" spans="1:4" x14ac:dyDescent="0.3">
      <c r="A1540" t="s">
        <v>1107</v>
      </c>
      <c r="B1540">
        <v>100352</v>
      </c>
      <c r="C1540" t="s">
        <v>1109</v>
      </c>
      <c r="D1540" t="s">
        <v>1109</v>
      </c>
    </row>
    <row r="1541" spans="1:4" x14ac:dyDescent="0.3">
      <c r="A1541" t="s">
        <v>1107</v>
      </c>
      <c r="B1541">
        <v>100352</v>
      </c>
      <c r="C1541" t="s">
        <v>158</v>
      </c>
      <c r="D1541" t="s">
        <v>158</v>
      </c>
    </row>
    <row r="1542" spans="1:4" x14ac:dyDescent="0.3">
      <c r="A1542" t="s">
        <v>1107</v>
      </c>
      <c r="B1542">
        <v>100352</v>
      </c>
      <c r="C1542" t="s">
        <v>1110</v>
      </c>
      <c r="D1542" t="s">
        <v>1110</v>
      </c>
    </row>
    <row r="1543" spans="1:4" x14ac:dyDescent="0.3">
      <c r="A1543" t="s">
        <v>1107</v>
      </c>
      <c r="B1543">
        <v>100352</v>
      </c>
      <c r="C1543" t="s">
        <v>1111</v>
      </c>
      <c r="D1543" t="s">
        <v>1111</v>
      </c>
    </row>
    <row r="1544" spans="1:4" x14ac:dyDescent="0.3">
      <c r="A1544" t="s">
        <v>1107</v>
      </c>
      <c r="B1544">
        <v>100352</v>
      </c>
      <c r="C1544" t="s">
        <v>1112</v>
      </c>
      <c r="D1544" t="s">
        <v>1112</v>
      </c>
    </row>
    <row r="1545" spans="1:4" x14ac:dyDescent="0.3">
      <c r="A1545" t="s">
        <v>1113</v>
      </c>
      <c r="B1545">
        <v>100353</v>
      </c>
      <c r="C1545" t="s">
        <v>422</v>
      </c>
      <c r="D1545" t="s">
        <v>422</v>
      </c>
    </row>
    <row r="1546" spans="1:4" x14ac:dyDescent="0.3">
      <c r="A1546" t="s">
        <v>1113</v>
      </c>
      <c r="B1546">
        <v>100353</v>
      </c>
      <c r="C1546" t="s">
        <v>788</v>
      </c>
      <c r="D1546" t="s">
        <v>788</v>
      </c>
    </row>
    <row r="1547" spans="1:4" x14ac:dyDescent="0.3">
      <c r="A1547" t="s">
        <v>1113</v>
      </c>
      <c r="B1547">
        <v>100353</v>
      </c>
      <c r="C1547" t="s">
        <v>787</v>
      </c>
      <c r="D1547" t="s">
        <v>787</v>
      </c>
    </row>
    <row r="1548" spans="1:4" x14ac:dyDescent="0.3">
      <c r="A1548" t="s">
        <v>1113</v>
      </c>
      <c r="B1548">
        <v>100353</v>
      </c>
      <c r="C1548" t="s">
        <v>1114</v>
      </c>
      <c r="D1548" t="s">
        <v>1114</v>
      </c>
    </row>
    <row r="1549" spans="1:4" x14ac:dyDescent="0.3">
      <c r="A1549" t="s">
        <v>1113</v>
      </c>
      <c r="B1549">
        <v>100353</v>
      </c>
      <c r="C1549" t="s">
        <v>156</v>
      </c>
      <c r="D1549" t="s">
        <v>156</v>
      </c>
    </row>
    <row r="1550" spans="1:4" x14ac:dyDescent="0.3">
      <c r="A1550" t="s">
        <v>1113</v>
      </c>
      <c r="B1550">
        <v>100353</v>
      </c>
      <c r="C1550" t="s">
        <v>1115</v>
      </c>
      <c r="D1550" t="s">
        <v>1115</v>
      </c>
    </row>
    <row r="1551" spans="1:4" x14ac:dyDescent="0.3">
      <c r="A1551" t="s">
        <v>1113</v>
      </c>
      <c r="B1551">
        <v>100353</v>
      </c>
      <c r="C1551" t="s">
        <v>1116</v>
      </c>
      <c r="D1551" t="s">
        <v>1116</v>
      </c>
    </row>
    <row r="1552" spans="1:4" x14ac:dyDescent="0.3">
      <c r="A1552" t="s">
        <v>1113</v>
      </c>
      <c r="B1552">
        <v>100353</v>
      </c>
      <c r="C1552" t="s">
        <v>1117</v>
      </c>
      <c r="D1552" t="s">
        <v>1117</v>
      </c>
    </row>
    <row r="1553" spans="1:4" x14ac:dyDescent="0.3">
      <c r="A1553" t="s">
        <v>1113</v>
      </c>
      <c r="B1553">
        <v>100353</v>
      </c>
      <c r="C1553" t="s">
        <v>1118</v>
      </c>
      <c r="D1553" t="s">
        <v>1118</v>
      </c>
    </row>
    <row r="1554" spans="1:4" x14ac:dyDescent="0.3">
      <c r="A1554" t="s">
        <v>1113</v>
      </c>
      <c r="B1554">
        <v>100353</v>
      </c>
      <c r="C1554" t="s">
        <v>1119</v>
      </c>
      <c r="D1554" t="s">
        <v>1119</v>
      </c>
    </row>
    <row r="1555" spans="1:4" x14ac:dyDescent="0.3">
      <c r="A1555" t="s">
        <v>1113</v>
      </c>
      <c r="B1555">
        <v>100353</v>
      </c>
      <c r="C1555" t="s">
        <v>152</v>
      </c>
      <c r="D1555" t="s">
        <v>152</v>
      </c>
    </row>
    <row r="1556" spans="1:4" x14ac:dyDescent="0.3">
      <c r="A1556" t="s">
        <v>1113</v>
      </c>
      <c r="B1556">
        <v>100353</v>
      </c>
      <c r="C1556" t="s">
        <v>205</v>
      </c>
      <c r="D1556" t="s">
        <v>205</v>
      </c>
    </row>
    <row r="1557" spans="1:4" x14ac:dyDescent="0.3">
      <c r="A1557" t="s">
        <v>1113</v>
      </c>
      <c r="B1557">
        <v>100353</v>
      </c>
      <c r="C1557" t="s">
        <v>204</v>
      </c>
      <c r="D1557" t="s">
        <v>204</v>
      </c>
    </row>
    <row r="1558" spans="1:4" x14ac:dyDescent="0.3">
      <c r="A1558" t="s">
        <v>1120</v>
      </c>
      <c r="B1558">
        <v>100005</v>
      </c>
      <c r="C1558" t="s">
        <v>1121</v>
      </c>
      <c r="D1558" t="s">
        <v>1121</v>
      </c>
    </row>
    <row r="1559" spans="1:4" x14ac:dyDescent="0.3">
      <c r="A1559" t="s">
        <v>1120</v>
      </c>
      <c r="B1559">
        <v>100005</v>
      </c>
      <c r="C1559" t="s">
        <v>1122</v>
      </c>
      <c r="D1559" t="s">
        <v>1122</v>
      </c>
    </row>
    <row r="1560" spans="1:4" x14ac:dyDescent="0.3">
      <c r="A1560" t="s">
        <v>1120</v>
      </c>
      <c r="B1560">
        <v>100005</v>
      </c>
      <c r="C1560" t="s">
        <v>152</v>
      </c>
      <c r="D1560" t="s">
        <v>152</v>
      </c>
    </row>
    <row r="1561" spans="1:4" x14ac:dyDescent="0.3">
      <c r="A1561" t="s">
        <v>1123</v>
      </c>
      <c r="B1561">
        <v>100008</v>
      </c>
      <c r="C1561" t="s">
        <v>121</v>
      </c>
      <c r="D1561" t="s">
        <v>121</v>
      </c>
    </row>
    <row r="1562" spans="1:4" x14ac:dyDescent="0.3">
      <c r="A1562" t="s">
        <v>1123</v>
      </c>
      <c r="B1562">
        <v>100008</v>
      </c>
      <c r="C1562" t="s">
        <v>120</v>
      </c>
      <c r="D1562" t="s">
        <v>120</v>
      </c>
    </row>
    <row r="1563" spans="1:4" x14ac:dyDescent="0.3">
      <c r="A1563" t="s">
        <v>1124</v>
      </c>
      <c r="B1563">
        <v>100009</v>
      </c>
      <c r="C1563" t="s">
        <v>121</v>
      </c>
      <c r="D1563" t="s">
        <v>121</v>
      </c>
    </row>
    <row r="1564" spans="1:4" x14ac:dyDescent="0.3">
      <c r="A1564" t="s">
        <v>1124</v>
      </c>
      <c r="B1564">
        <v>100009</v>
      </c>
      <c r="C1564" t="s">
        <v>120</v>
      </c>
      <c r="D1564" t="s">
        <v>120</v>
      </c>
    </row>
    <row r="1565" spans="1:4" x14ac:dyDescent="0.3">
      <c r="A1565" t="s">
        <v>1125</v>
      </c>
      <c r="B1565">
        <v>100843</v>
      </c>
      <c r="C1565" t="s">
        <v>209</v>
      </c>
      <c r="D1565" t="s">
        <v>209</v>
      </c>
    </row>
    <row r="1566" spans="1:4" x14ac:dyDescent="0.3">
      <c r="A1566" t="s">
        <v>1125</v>
      </c>
      <c r="B1566">
        <v>100843</v>
      </c>
      <c r="C1566" t="s">
        <v>212</v>
      </c>
      <c r="D1566" t="s">
        <v>212</v>
      </c>
    </row>
    <row r="1567" spans="1:4" x14ac:dyDescent="0.3">
      <c r="A1567" t="s">
        <v>1125</v>
      </c>
      <c r="B1567">
        <v>100843</v>
      </c>
      <c r="C1567" t="s">
        <v>1126</v>
      </c>
      <c r="D1567" t="s">
        <v>1126</v>
      </c>
    </row>
    <row r="1568" spans="1:4" x14ac:dyDescent="0.3">
      <c r="A1568" t="s">
        <v>1125</v>
      </c>
      <c r="B1568">
        <v>100843</v>
      </c>
      <c r="C1568" t="s">
        <v>214</v>
      </c>
      <c r="D1568" t="s">
        <v>214</v>
      </c>
    </row>
    <row r="1569" spans="1:4" x14ac:dyDescent="0.3">
      <c r="A1569" t="s">
        <v>1125</v>
      </c>
      <c r="B1569">
        <v>100843</v>
      </c>
      <c r="C1569" t="s">
        <v>592</v>
      </c>
      <c r="D1569" t="s">
        <v>592</v>
      </c>
    </row>
    <row r="1570" spans="1:4" x14ac:dyDescent="0.3">
      <c r="A1570" t="s">
        <v>1127</v>
      </c>
      <c r="B1570">
        <v>100844</v>
      </c>
      <c r="C1570" t="s">
        <v>1128</v>
      </c>
      <c r="D1570" t="s">
        <v>1128</v>
      </c>
    </row>
    <row r="1571" spans="1:4" x14ac:dyDescent="0.3">
      <c r="A1571" t="s">
        <v>1127</v>
      </c>
      <c r="B1571">
        <v>100844</v>
      </c>
      <c r="C1571" t="s">
        <v>798</v>
      </c>
      <c r="D1571" t="s">
        <v>798</v>
      </c>
    </row>
    <row r="1572" spans="1:4" x14ac:dyDescent="0.3">
      <c r="A1572" t="s">
        <v>1127</v>
      </c>
      <c r="B1572">
        <v>100844</v>
      </c>
      <c r="C1572" t="s">
        <v>1129</v>
      </c>
      <c r="D1572" t="s">
        <v>1129</v>
      </c>
    </row>
    <row r="1573" spans="1:4" x14ac:dyDescent="0.3">
      <c r="A1573" t="s">
        <v>1127</v>
      </c>
      <c r="B1573">
        <v>100844</v>
      </c>
      <c r="C1573" t="s">
        <v>1130</v>
      </c>
      <c r="D1573" t="s">
        <v>1130</v>
      </c>
    </row>
    <row r="1574" spans="1:4" x14ac:dyDescent="0.3">
      <c r="A1574" t="s">
        <v>1127</v>
      </c>
      <c r="B1574">
        <v>100844</v>
      </c>
      <c r="C1574" t="s">
        <v>1131</v>
      </c>
      <c r="D1574" t="s">
        <v>1131</v>
      </c>
    </row>
    <row r="1575" spans="1:4" x14ac:dyDescent="0.3">
      <c r="A1575" t="s">
        <v>1127</v>
      </c>
      <c r="B1575">
        <v>100844</v>
      </c>
      <c r="C1575" t="s">
        <v>166</v>
      </c>
      <c r="D1575" t="s">
        <v>166</v>
      </c>
    </row>
    <row r="1576" spans="1:4" x14ac:dyDescent="0.3">
      <c r="A1576" t="s">
        <v>1127</v>
      </c>
      <c r="B1576">
        <v>100844</v>
      </c>
      <c r="C1576" t="s">
        <v>152</v>
      </c>
      <c r="D1576" t="s">
        <v>152</v>
      </c>
    </row>
    <row r="1577" spans="1:4" x14ac:dyDescent="0.3">
      <c r="A1577" t="s">
        <v>1132</v>
      </c>
      <c r="B1577">
        <v>100845</v>
      </c>
      <c r="C1577" t="s">
        <v>1133</v>
      </c>
      <c r="D1577" t="s">
        <v>1133</v>
      </c>
    </row>
    <row r="1578" spans="1:4" x14ac:dyDescent="0.3">
      <c r="A1578" t="s">
        <v>1132</v>
      </c>
      <c r="B1578">
        <v>100845</v>
      </c>
      <c r="C1578" t="s">
        <v>1134</v>
      </c>
      <c r="D1578" t="s">
        <v>1134</v>
      </c>
    </row>
    <row r="1579" spans="1:4" x14ac:dyDescent="0.3">
      <c r="A1579" t="s">
        <v>1132</v>
      </c>
      <c r="B1579">
        <v>100845</v>
      </c>
      <c r="C1579" t="s">
        <v>1135</v>
      </c>
      <c r="D1579" t="s">
        <v>1135</v>
      </c>
    </row>
    <row r="1580" spans="1:4" x14ac:dyDescent="0.3">
      <c r="A1580" t="s">
        <v>1132</v>
      </c>
      <c r="B1580">
        <v>100845</v>
      </c>
      <c r="C1580" t="s">
        <v>1136</v>
      </c>
      <c r="D1580" t="s">
        <v>1136</v>
      </c>
    </row>
    <row r="1581" spans="1:4" x14ac:dyDescent="0.3">
      <c r="A1581" t="s">
        <v>1137</v>
      </c>
      <c r="B1581">
        <v>100653</v>
      </c>
      <c r="C1581" t="s">
        <v>237</v>
      </c>
      <c r="D1581" t="s">
        <v>237</v>
      </c>
    </row>
    <row r="1582" spans="1:4" x14ac:dyDescent="0.3">
      <c r="A1582" t="s">
        <v>1137</v>
      </c>
      <c r="B1582">
        <v>100653</v>
      </c>
      <c r="C1582" t="s">
        <v>239</v>
      </c>
      <c r="D1582" t="s">
        <v>239</v>
      </c>
    </row>
    <row r="1583" spans="1:4" x14ac:dyDescent="0.3">
      <c r="A1583" t="s">
        <v>1137</v>
      </c>
      <c r="B1583">
        <v>100653</v>
      </c>
      <c r="C1583" t="s">
        <v>241</v>
      </c>
      <c r="D1583" t="s">
        <v>241</v>
      </c>
    </row>
    <row r="1584" spans="1:4" x14ac:dyDescent="0.3">
      <c r="A1584" t="s">
        <v>1137</v>
      </c>
      <c r="B1584">
        <v>100653</v>
      </c>
      <c r="C1584" t="s">
        <v>243</v>
      </c>
      <c r="D1584" t="s">
        <v>243</v>
      </c>
    </row>
    <row r="1585" spans="1:4" x14ac:dyDescent="0.3">
      <c r="A1585" t="s">
        <v>1137</v>
      </c>
      <c r="B1585">
        <v>100653</v>
      </c>
      <c r="C1585" t="s">
        <v>245</v>
      </c>
      <c r="D1585" t="s">
        <v>245</v>
      </c>
    </row>
    <row r="1586" spans="1:4" x14ac:dyDescent="0.3">
      <c r="A1586" t="s">
        <v>1137</v>
      </c>
      <c r="B1586">
        <v>100653</v>
      </c>
      <c r="C1586" t="s">
        <v>443</v>
      </c>
      <c r="D1586" t="s">
        <v>443</v>
      </c>
    </row>
    <row r="1587" spans="1:4" x14ac:dyDescent="0.3">
      <c r="A1587" t="s">
        <v>1138</v>
      </c>
      <c r="B1587">
        <v>100654</v>
      </c>
      <c r="C1587" t="s">
        <v>237</v>
      </c>
      <c r="D1587" t="s">
        <v>237</v>
      </c>
    </row>
    <row r="1588" spans="1:4" x14ac:dyDescent="0.3">
      <c r="A1588" t="s">
        <v>1138</v>
      </c>
      <c r="B1588">
        <v>100654</v>
      </c>
      <c r="C1588" t="s">
        <v>239</v>
      </c>
      <c r="D1588" t="s">
        <v>239</v>
      </c>
    </row>
    <row r="1589" spans="1:4" x14ac:dyDescent="0.3">
      <c r="A1589" t="s">
        <v>1138</v>
      </c>
      <c r="B1589">
        <v>100654</v>
      </c>
      <c r="C1589" t="s">
        <v>241</v>
      </c>
      <c r="D1589" t="s">
        <v>241</v>
      </c>
    </row>
    <row r="1590" spans="1:4" x14ac:dyDescent="0.3">
      <c r="A1590" t="s">
        <v>1138</v>
      </c>
      <c r="B1590">
        <v>100654</v>
      </c>
      <c r="C1590" t="s">
        <v>243</v>
      </c>
      <c r="D1590" t="s">
        <v>243</v>
      </c>
    </row>
    <row r="1591" spans="1:4" x14ac:dyDescent="0.3">
      <c r="A1591" t="s">
        <v>1138</v>
      </c>
      <c r="B1591">
        <v>100654</v>
      </c>
      <c r="C1591" t="s">
        <v>245</v>
      </c>
      <c r="D1591" t="s">
        <v>245</v>
      </c>
    </row>
    <row r="1592" spans="1:4" x14ac:dyDescent="0.3">
      <c r="A1592" t="s">
        <v>1138</v>
      </c>
      <c r="B1592">
        <v>100654</v>
      </c>
      <c r="C1592" t="s">
        <v>443</v>
      </c>
      <c r="D1592" t="s">
        <v>443</v>
      </c>
    </row>
    <row r="1593" spans="1:4" x14ac:dyDescent="0.3">
      <c r="A1593" t="s">
        <v>1139</v>
      </c>
      <c r="B1593">
        <v>100655</v>
      </c>
      <c r="C1593" t="s">
        <v>237</v>
      </c>
      <c r="D1593" t="s">
        <v>237</v>
      </c>
    </row>
    <row r="1594" spans="1:4" x14ac:dyDescent="0.3">
      <c r="A1594" t="s">
        <v>1139</v>
      </c>
      <c r="B1594">
        <v>100655</v>
      </c>
      <c r="C1594" t="s">
        <v>239</v>
      </c>
      <c r="D1594" t="s">
        <v>239</v>
      </c>
    </row>
    <row r="1595" spans="1:4" x14ac:dyDescent="0.3">
      <c r="A1595" t="s">
        <v>1139</v>
      </c>
      <c r="B1595">
        <v>100655</v>
      </c>
      <c r="C1595" t="s">
        <v>241</v>
      </c>
      <c r="D1595" t="s">
        <v>241</v>
      </c>
    </row>
    <row r="1596" spans="1:4" x14ac:dyDescent="0.3">
      <c r="A1596" t="s">
        <v>1139</v>
      </c>
      <c r="B1596">
        <v>100655</v>
      </c>
      <c r="C1596" t="s">
        <v>243</v>
      </c>
      <c r="D1596" t="s">
        <v>243</v>
      </c>
    </row>
    <row r="1597" spans="1:4" x14ac:dyDescent="0.3">
      <c r="A1597" t="s">
        <v>1139</v>
      </c>
      <c r="B1597">
        <v>100655</v>
      </c>
      <c r="C1597" t="s">
        <v>245</v>
      </c>
      <c r="D1597" t="s">
        <v>245</v>
      </c>
    </row>
    <row r="1598" spans="1:4" x14ac:dyDescent="0.3">
      <c r="A1598" t="s">
        <v>1139</v>
      </c>
      <c r="B1598">
        <v>100655</v>
      </c>
      <c r="C1598" t="s">
        <v>443</v>
      </c>
      <c r="D1598" t="s">
        <v>443</v>
      </c>
    </row>
    <row r="1599" spans="1:4" x14ac:dyDescent="0.3">
      <c r="A1599" t="s">
        <v>1140</v>
      </c>
      <c r="B1599">
        <v>100656</v>
      </c>
      <c r="C1599" t="s">
        <v>237</v>
      </c>
      <c r="D1599" t="s">
        <v>237</v>
      </c>
    </row>
    <row r="1600" spans="1:4" x14ac:dyDescent="0.3">
      <c r="A1600" t="s">
        <v>1140</v>
      </c>
      <c r="B1600">
        <v>100656</v>
      </c>
      <c r="C1600" t="s">
        <v>239</v>
      </c>
      <c r="D1600" t="s">
        <v>239</v>
      </c>
    </row>
    <row r="1601" spans="1:4" x14ac:dyDescent="0.3">
      <c r="A1601" t="s">
        <v>1140</v>
      </c>
      <c r="B1601">
        <v>100656</v>
      </c>
      <c r="C1601" t="s">
        <v>241</v>
      </c>
      <c r="D1601" t="s">
        <v>241</v>
      </c>
    </row>
    <row r="1602" spans="1:4" x14ac:dyDescent="0.3">
      <c r="A1602" t="s">
        <v>1140</v>
      </c>
      <c r="B1602">
        <v>100656</v>
      </c>
      <c r="C1602" t="s">
        <v>243</v>
      </c>
      <c r="D1602" t="s">
        <v>243</v>
      </c>
    </row>
    <row r="1603" spans="1:4" x14ac:dyDescent="0.3">
      <c r="A1603" t="s">
        <v>1140</v>
      </c>
      <c r="B1603">
        <v>100656</v>
      </c>
      <c r="C1603" t="s">
        <v>245</v>
      </c>
      <c r="D1603" t="s">
        <v>245</v>
      </c>
    </row>
    <row r="1604" spans="1:4" x14ac:dyDescent="0.3">
      <c r="A1604" t="s">
        <v>1140</v>
      </c>
      <c r="B1604">
        <v>100656</v>
      </c>
      <c r="C1604" t="s">
        <v>443</v>
      </c>
      <c r="D1604" t="s">
        <v>443</v>
      </c>
    </row>
    <row r="1605" spans="1:4" x14ac:dyDescent="0.3">
      <c r="A1605" t="s">
        <v>1141</v>
      </c>
      <c r="B1605">
        <v>100657</v>
      </c>
      <c r="C1605" t="s">
        <v>237</v>
      </c>
      <c r="D1605" t="s">
        <v>237</v>
      </c>
    </row>
    <row r="1606" spans="1:4" x14ac:dyDescent="0.3">
      <c r="A1606" t="s">
        <v>1141</v>
      </c>
      <c r="B1606">
        <v>100657</v>
      </c>
      <c r="C1606" t="s">
        <v>239</v>
      </c>
      <c r="D1606" t="s">
        <v>239</v>
      </c>
    </row>
    <row r="1607" spans="1:4" x14ac:dyDescent="0.3">
      <c r="A1607" t="s">
        <v>1141</v>
      </c>
      <c r="B1607">
        <v>100657</v>
      </c>
      <c r="C1607" t="s">
        <v>241</v>
      </c>
      <c r="D1607" t="s">
        <v>241</v>
      </c>
    </row>
    <row r="1608" spans="1:4" x14ac:dyDescent="0.3">
      <c r="A1608" t="s">
        <v>1141</v>
      </c>
      <c r="B1608">
        <v>100657</v>
      </c>
      <c r="C1608" t="s">
        <v>245</v>
      </c>
      <c r="D1608" t="s">
        <v>245</v>
      </c>
    </row>
    <row r="1609" spans="1:4" x14ac:dyDescent="0.3">
      <c r="A1609" t="s">
        <v>1141</v>
      </c>
      <c r="B1609">
        <v>100657</v>
      </c>
      <c r="C1609" t="s">
        <v>443</v>
      </c>
      <c r="D1609" t="s">
        <v>443</v>
      </c>
    </row>
    <row r="1610" spans="1:4" x14ac:dyDescent="0.3">
      <c r="A1610" t="s">
        <v>1141</v>
      </c>
      <c r="B1610">
        <v>100657</v>
      </c>
      <c r="C1610" t="s">
        <v>243</v>
      </c>
      <c r="D1610" t="s">
        <v>243</v>
      </c>
    </row>
    <row r="1611" spans="1:4" x14ac:dyDescent="0.3">
      <c r="A1611" t="s">
        <v>1142</v>
      </c>
      <c r="B1611">
        <v>100658</v>
      </c>
      <c r="C1611" t="s">
        <v>237</v>
      </c>
      <c r="D1611" t="s">
        <v>237</v>
      </c>
    </row>
    <row r="1612" spans="1:4" x14ac:dyDescent="0.3">
      <c r="A1612" t="s">
        <v>1142</v>
      </c>
      <c r="B1612">
        <v>100658</v>
      </c>
      <c r="C1612" t="s">
        <v>239</v>
      </c>
      <c r="D1612" t="s">
        <v>239</v>
      </c>
    </row>
    <row r="1613" spans="1:4" x14ac:dyDescent="0.3">
      <c r="A1613" t="s">
        <v>1142</v>
      </c>
      <c r="B1613">
        <v>100658</v>
      </c>
      <c r="C1613" t="s">
        <v>241</v>
      </c>
      <c r="D1613" t="s">
        <v>241</v>
      </c>
    </row>
    <row r="1614" spans="1:4" x14ac:dyDescent="0.3">
      <c r="A1614" t="s">
        <v>1142</v>
      </c>
      <c r="B1614">
        <v>100658</v>
      </c>
      <c r="C1614" t="s">
        <v>243</v>
      </c>
      <c r="D1614" t="s">
        <v>243</v>
      </c>
    </row>
    <row r="1615" spans="1:4" x14ac:dyDescent="0.3">
      <c r="A1615" t="s">
        <v>1142</v>
      </c>
      <c r="B1615">
        <v>100658</v>
      </c>
      <c r="C1615" t="s">
        <v>245</v>
      </c>
      <c r="D1615" t="s">
        <v>245</v>
      </c>
    </row>
    <row r="1616" spans="1:4" x14ac:dyDescent="0.3">
      <c r="A1616" t="s">
        <v>1142</v>
      </c>
      <c r="B1616">
        <v>100658</v>
      </c>
      <c r="C1616" t="s">
        <v>443</v>
      </c>
      <c r="D1616" t="s">
        <v>443</v>
      </c>
    </row>
    <row r="1617" spans="1:4" x14ac:dyDescent="0.3">
      <c r="A1617" t="s">
        <v>1143</v>
      </c>
      <c r="B1617">
        <v>100659</v>
      </c>
      <c r="C1617" t="s">
        <v>237</v>
      </c>
      <c r="D1617" t="s">
        <v>237</v>
      </c>
    </row>
    <row r="1618" spans="1:4" x14ac:dyDescent="0.3">
      <c r="A1618" t="s">
        <v>1143</v>
      </c>
      <c r="B1618">
        <v>100659</v>
      </c>
      <c r="C1618" t="s">
        <v>239</v>
      </c>
      <c r="D1618" t="s">
        <v>239</v>
      </c>
    </row>
    <row r="1619" spans="1:4" x14ac:dyDescent="0.3">
      <c r="A1619" t="s">
        <v>1143</v>
      </c>
      <c r="B1619">
        <v>100659</v>
      </c>
      <c r="C1619" t="s">
        <v>241</v>
      </c>
      <c r="D1619" t="s">
        <v>241</v>
      </c>
    </row>
    <row r="1620" spans="1:4" x14ac:dyDescent="0.3">
      <c r="A1620" t="s">
        <v>1143</v>
      </c>
      <c r="B1620">
        <v>100659</v>
      </c>
      <c r="C1620" t="s">
        <v>243</v>
      </c>
      <c r="D1620" t="s">
        <v>243</v>
      </c>
    </row>
    <row r="1621" spans="1:4" x14ac:dyDescent="0.3">
      <c r="A1621" t="s">
        <v>1143</v>
      </c>
      <c r="B1621">
        <v>100659</v>
      </c>
      <c r="C1621" t="s">
        <v>245</v>
      </c>
      <c r="D1621" t="s">
        <v>245</v>
      </c>
    </row>
    <row r="1622" spans="1:4" x14ac:dyDescent="0.3">
      <c r="A1622" t="s">
        <v>1143</v>
      </c>
      <c r="B1622">
        <v>100659</v>
      </c>
      <c r="C1622" t="s">
        <v>443</v>
      </c>
      <c r="D1622" t="s">
        <v>443</v>
      </c>
    </row>
    <row r="1623" spans="1:4" x14ac:dyDescent="0.3">
      <c r="A1623" t="s">
        <v>1144</v>
      </c>
      <c r="B1623">
        <v>100660</v>
      </c>
      <c r="C1623" t="s">
        <v>237</v>
      </c>
      <c r="D1623" t="s">
        <v>237</v>
      </c>
    </row>
    <row r="1624" spans="1:4" x14ac:dyDescent="0.3">
      <c r="A1624" t="s">
        <v>1144</v>
      </c>
      <c r="B1624">
        <v>100660</v>
      </c>
      <c r="C1624" t="s">
        <v>239</v>
      </c>
      <c r="D1624" t="s">
        <v>239</v>
      </c>
    </row>
    <row r="1625" spans="1:4" x14ac:dyDescent="0.3">
      <c r="A1625" t="s">
        <v>1144</v>
      </c>
      <c r="B1625">
        <v>100660</v>
      </c>
      <c r="C1625" t="s">
        <v>241</v>
      </c>
      <c r="D1625" t="s">
        <v>241</v>
      </c>
    </row>
    <row r="1626" spans="1:4" x14ac:dyDescent="0.3">
      <c r="A1626" t="s">
        <v>1144</v>
      </c>
      <c r="B1626">
        <v>100660</v>
      </c>
      <c r="C1626" t="s">
        <v>243</v>
      </c>
      <c r="D1626" t="s">
        <v>243</v>
      </c>
    </row>
    <row r="1627" spans="1:4" x14ac:dyDescent="0.3">
      <c r="A1627" t="s">
        <v>1144</v>
      </c>
      <c r="B1627">
        <v>100660</v>
      </c>
      <c r="C1627" t="s">
        <v>245</v>
      </c>
      <c r="D1627" t="s">
        <v>245</v>
      </c>
    </row>
    <row r="1628" spans="1:4" x14ac:dyDescent="0.3">
      <c r="A1628" t="s">
        <v>1144</v>
      </c>
      <c r="B1628">
        <v>100660</v>
      </c>
      <c r="C1628" t="s">
        <v>443</v>
      </c>
      <c r="D1628" t="s">
        <v>443</v>
      </c>
    </row>
    <row r="1629" spans="1:4" x14ac:dyDescent="0.3">
      <c r="A1629" t="s">
        <v>1145</v>
      </c>
      <c r="B1629">
        <v>100661</v>
      </c>
      <c r="C1629" t="s">
        <v>237</v>
      </c>
      <c r="D1629" t="s">
        <v>237</v>
      </c>
    </row>
    <row r="1630" spans="1:4" x14ac:dyDescent="0.3">
      <c r="A1630" t="s">
        <v>1145</v>
      </c>
      <c r="B1630">
        <v>100661</v>
      </c>
      <c r="C1630" t="s">
        <v>239</v>
      </c>
      <c r="D1630" t="s">
        <v>239</v>
      </c>
    </row>
    <row r="1631" spans="1:4" x14ac:dyDescent="0.3">
      <c r="A1631" t="s">
        <v>1145</v>
      </c>
      <c r="B1631">
        <v>100661</v>
      </c>
      <c r="C1631" t="s">
        <v>241</v>
      </c>
      <c r="D1631" t="s">
        <v>241</v>
      </c>
    </row>
    <row r="1632" spans="1:4" x14ac:dyDescent="0.3">
      <c r="A1632" t="s">
        <v>1145</v>
      </c>
      <c r="B1632">
        <v>100661</v>
      </c>
      <c r="C1632" t="s">
        <v>243</v>
      </c>
      <c r="D1632" t="s">
        <v>243</v>
      </c>
    </row>
    <row r="1633" spans="1:4" x14ac:dyDescent="0.3">
      <c r="A1633" t="s">
        <v>1145</v>
      </c>
      <c r="B1633">
        <v>100661</v>
      </c>
      <c r="C1633" t="s">
        <v>245</v>
      </c>
      <c r="D1633" t="s">
        <v>245</v>
      </c>
    </row>
    <row r="1634" spans="1:4" x14ac:dyDescent="0.3">
      <c r="A1634" t="s">
        <v>1145</v>
      </c>
      <c r="B1634">
        <v>100661</v>
      </c>
      <c r="C1634" t="s">
        <v>443</v>
      </c>
      <c r="D1634" t="s">
        <v>443</v>
      </c>
    </row>
    <row r="1635" spans="1:4" x14ac:dyDescent="0.3">
      <c r="A1635" t="s">
        <v>1146</v>
      </c>
      <c r="B1635">
        <v>100662</v>
      </c>
      <c r="C1635" t="s">
        <v>237</v>
      </c>
      <c r="D1635" t="s">
        <v>237</v>
      </c>
    </row>
    <row r="1636" spans="1:4" x14ac:dyDescent="0.3">
      <c r="A1636" t="s">
        <v>1146</v>
      </c>
      <c r="B1636">
        <v>100662</v>
      </c>
      <c r="C1636" t="s">
        <v>239</v>
      </c>
      <c r="D1636" t="s">
        <v>239</v>
      </c>
    </row>
    <row r="1637" spans="1:4" x14ac:dyDescent="0.3">
      <c r="A1637" t="s">
        <v>1146</v>
      </c>
      <c r="B1637">
        <v>100662</v>
      </c>
      <c r="C1637" t="s">
        <v>241</v>
      </c>
      <c r="D1637" t="s">
        <v>241</v>
      </c>
    </row>
    <row r="1638" spans="1:4" x14ac:dyDescent="0.3">
      <c r="A1638" t="s">
        <v>1146</v>
      </c>
      <c r="B1638">
        <v>100662</v>
      </c>
      <c r="C1638" t="s">
        <v>243</v>
      </c>
      <c r="D1638" t="s">
        <v>243</v>
      </c>
    </row>
    <row r="1639" spans="1:4" x14ac:dyDescent="0.3">
      <c r="A1639" t="s">
        <v>1146</v>
      </c>
      <c r="B1639">
        <v>100662</v>
      </c>
      <c r="C1639" t="s">
        <v>245</v>
      </c>
      <c r="D1639" t="s">
        <v>245</v>
      </c>
    </row>
    <row r="1640" spans="1:4" x14ac:dyDescent="0.3">
      <c r="A1640" t="s">
        <v>1146</v>
      </c>
      <c r="B1640">
        <v>100662</v>
      </c>
      <c r="C1640" t="s">
        <v>443</v>
      </c>
      <c r="D1640" t="s">
        <v>443</v>
      </c>
    </row>
    <row r="1641" spans="1:4" x14ac:dyDescent="0.3">
      <c r="A1641" t="s">
        <v>1147</v>
      </c>
      <c r="B1641">
        <v>100663</v>
      </c>
      <c r="C1641" t="s">
        <v>237</v>
      </c>
      <c r="D1641" t="s">
        <v>237</v>
      </c>
    </row>
    <row r="1642" spans="1:4" x14ac:dyDescent="0.3">
      <c r="A1642" t="s">
        <v>1147</v>
      </c>
      <c r="B1642">
        <v>100663</v>
      </c>
      <c r="C1642" t="s">
        <v>239</v>
      </c>
      <c r="D1642" t="s">
        <v>239</v>
      </c>
    </row>
    <row r="1643" spans="1:4" x14ac:dyDescent="0.3">
      <c r="A1643" t="s">
        <v>1147</v>
      </c>
      <c r="B1643">
        <v>100663</v>
      </c>
      <c r="C1643" t="s">
        <v>241</v>
      </c>
      <c r="D1643" t="s">
        <v>241</v>
      </c>
    </row>
    <row r="1644" spans="1:4" x14ac:dyDescent="0.3">
      <c r="A1644" t="s">
        <v>1147</v>
      </c>
      <c r="B1644">
        <v>100663</v>
      </c>
      <c r="C1644" t="s">
        <v>243</v>
      </c>
      <c r="D1644" t="s">
        <v>243</v>
      </c>
    </row>
    <row r="1645" spans="1:4" x14ac:dyDescent="0.3">
      <c r="A1645" t="s">
        <v>1147</v>
      </c>
      <c r="B1645">
        <v>100663</v>
      </c>
      <c r="C1645" t="s">
        <v>245</v>
      </c>
      <c r="D1645" t="s">
        <v>245</v>
      </c>
    </row>
    <row r="1646" spans="1:4" x14ac:dyDescent="0.3">
      <c r="A1646" t="s">
        <v>1147</v>
      </c>
      <c r="B1646">
        <v>100663</v>
      </c>
      <c r="C1646" t="s">
        <v>443</v>
      </c>
      <c r="D1646" t="s">
        <v>443</v>
      </c>
    </row>
    <row r="1647" spans="1:4" x14ac:dyDescent="0.3">
      <c r="A1647" t="s">
        <v>1148</v>
      </c>
      <c r="B1647">
        <v>100664</v>
      </c>
      <c r="C1647" t="s">
        <v>237</v>
      </c>
      <c r="D1647" t="s">
        <v>237</v>
      </c>
    </row>
    <row r="1648" spans="1:4" x14ac:dyDescent="0.3">
      <c r="A1648" t="s">
        <v>1148</v>
      </c>
      <c r="B1648">
        <v>100664</v>
      </c>
      <c r="C1648" t="s">
        <v>239</v>
      </c>
      <c r="D1648" t="s">
        <v>239</v>
      </c>
    </row>
    <row r="1649" spans="1:4" x14ac:dyDescent="0.3">
      <c r="A1649" t="s">
        <v>1148</v>
      </c>
      <c r="B1649">
        <v>100664</v>
      </c>
      <c r="C1649" t="s">
        <v>241</v>
      </c>
      <c r="D1649" t="s">
        <v>241</v>
      </c>
    </row>
    <row r="1650" spans="1:4" x14ac:dyDescent="0.3">
      <c r="A1650" t="s">
        <v>1148</v>
      </c>
      <c r="B1650">
        <v>100664</v>
      </c>
      <c r="C1650" t="s">
        <v>243</v>
      </c>
      <c r="D1650" t="s">
        <v>243</v>
      </c>
    </row>
    <row r="1651" spans="1:4" x14ac:dyDescent="0.3">
      <c r="A1651" t="s">
        <v>1148</v>
      </c>
      <c r="B1651">
        <v>100664</v>
      </c>
      <c r="C1651" t="s">
        <v>245</v>
      </c>
      <c r="D1651" t="s">
        <v>245</v>
      </c>
    </row>
    <row r="1652" spans="1:4" x14ac:dyDescent="0.3">
      <c r="A1652" t="s">
        <v>1148</v>
      </c>
      <c r="B1652">
        <v>100664</v>
      </c>
      <c r="C1652" t="s">
        <v>443</v>
      </c>
      <c r="D1652" t="s">
        <v>443</v>
      </c>
    </row>
    <row r="1653" spans="1:4" x14ac:dyDescent="0.3">
      <c r="A1653" t="s">
        <v>1149</v>
      </c>
      <c r="B1653">
        <v>100665</v>
      </c>
      <c r="C1653" t="s">
        <v>237</v>
      </c>
      <c r="D1653" t="s">
        <v>237</v>
      </c>
    </row>
    <row r="1654" spans="1:4" x14ac:dyDescent="0.3">
      <c r="A1654" t="s">
        <v>1149</v>
      </c>
      <c r="B1654">
        <v>100665</v>
      </c>
      <c r="C1654" t="s">
        <v>239</v>
      </c>
      <c r="D1654" t="s">
        <v>239</v>
      </c>
    </row>
    <row r="1655" spans="1:4" x14ac:dyDescent="0.3">
      <c r="A1655" t="s">
        <v>1149</v>
      </c>
      <c r="B1655">
        <v>100665</v>
      </c>
      <c r="C1655" t="s">
        <v>241</v>
      </c>
      <c r="D1655" t="s">
        <v>241</v>
      </c>
    </row>
    <row r="1656" spans="1:4" x14ac:dyDescent="0.3">
      <c r="A1656" t="s">
        <v>1149</v>
      </c>
      <c r="B1656">
        <v>100665</v>
      </c>
      <c r="C1656" t="s">
        <v>243</v>
      </c>
      <c r="D1656" t="s">
        <v>243</v>
      </c>
    </row>
    <row r="1657" spans="1:4" x14ac:dyDescent="0.3">
      <c r="A1657" t="s">
        <v>1149</v>
      </c>
      <c r="B1657">
        <v>100665</v>
      </c>
      <c r="C1657" t="s">
        <v>245</v>
      </c>
      <c r="D1657" t="s">
        <v>245</v>
      </c>
    </row>
    <row r="1658" spans="1:4" x14ac:dyDescent="0.3">
      <c r="A1658" t="s">
        <v>1149</v>
      </c>
      <c r="B1658">
        <v>100665</v>
      </c>
      <c r="C1658" t="s">
        <v>443</v>
      </c>
      <c r="D1658" t="s">
        <v>443</v>
      </c>
    </row>
    <row r="1659" spans="1:4" x14ac:dyDescent="0.3">
      <c r="A1659" t="s">
        <v>1150</v>
      </c>
      <c r="B1659">
        <v>100666</v>
      </c>
      <c r="C1659" t="s">
        <v>237</v>
      </c>
      <c r="D1659" t="s">
        <v>237</v>
      </c>
    </row>
    <row r="1660" spans="1:4" x14ac:dyDescent="0.3">
      <c r="A1660" t="s">
        <v>1150</v>
      </c>
      <c r="B1660">
        <v>100666</v>
      </c>
      <c r="C1660" t="s">
        <v>239</v>
      </c>
      <c r="D1660" t="s">
        <v>239</v>
      </c>
    </row>
    <row r="1661" spans="1:4" x14ac:dyDescent="0.3">
      <c r="A1661" t="s">
        <v>1150</v>
      </c>
      <c r="B1661">
        <v>100666</v>
      </c>
      <c r="C1661" t="s">
        <v>241</v>
      </c>
      <c r="D1661" t="s">
        <v>241</v>
      </c>
    </row>
    <row r="1662" spans="1:4" x14ac:dyDescent="0.3">
      <c r="A1662" t="s">
        <v>1150</v>
      </c>
      <c r="B1662">
        <v>100666</v>
      </c>
      <c r="C1662" t="s">
        <v>243</v>
      </c>
      <c r="D1662" t="s">
        <v>243</v>
      </c>
    </row>
    <row r="1663" spans="1:4" x14ac:dyDescent="0.3">
      <c r="A1663" t="s">
        <v>1150</v>
      </c>
      <c r="B1663">
        <v>100666</v>
      </c>
      <c r="C1663" t="s">
        <v>245</v>
      </c>
      <c r="D1663" t="s">
        <v>245</v>
      </c>
    </row>
    <row r="1664" spans="1:4" x14ac:dyDescent="0.3">
      <c r="A1664" t="s">
        <v>1150</v>
      </c>
      <c r="B1664">
        <v>100666</v>
      </c>
      <c r="C1664" t="s">
        <v>443</v>
      </c>
      <c r="D1664" t="s">
        <v>443</v>
      </c>
    </row>
    <row r="1665" spans="1:4" x14ac:dyDescent="0.3">
      <c r="A1665" t="s">
        <v>1151</v>
      </c>
      <c r="B1665">
        <v>100667</v>
      </c>
      <c r="C1665" t="s">
        <v>237</v>
      </c>
      <c r="D1665" t="s">
        <v>237</v>
      </c>
    </row>
    <row r="1666" spans="1:4" x14ac:dyDescent="0.3">
      <c r="A1666" t="s">
        <v>1151</v>
      </c>
      <c r="B1666">
        <v>100667</v>
      </c>
      <c r="C1666" t="s">
        <v>239</v>
      </c>
      <c r="D1666" t="s">
        <v>239</v>
      </c>
    </row>
    <row r="1667" spans="1:4" x14ac:dyDescent="0.3">
      <c r="A1667" t="s">
        <v>1151</v>
      </c>
      <c r="B1667">
        <v>100667</v>
      </c>
      <c r="C1667" t="s">
        <v>241</v>
      </c>
      <c r="D1667" t="s">
        <v>241</v>
      </c>
    </row>
    <row r="1668" spans="1:4" x14ac:dyDescent="0.3">
      <c r="A1668" t="s">
        <v>1151</v>
      </c>
      <c r="B1668">
        <v>100667</v>
      </c>
      <c r="C1668" t="s">
        <v>243</v>
      </c>
      <c r="D1668" t="s">
        <v>243</v>
      </c>
    </row>
    <row r="1669" spans="1:4" x14ac:dyDescent="0.3">
      <c r="A1669" t="s">
        <v>1151</v>
      </c>
      <c r="B1669">
        <v>100667</v>
      </c>
      <c r="C1669" t="s">
        <v>245</v>
      </c>
      <c r="D1669" t="s">
        <v>245</v>
      </c>
    </row>
    <row r="1670" spans="1:4" x14ac:dyDescent="0.3">
      <c r="A1670" t="s">
        <v>1151</v>
      </c>
      <c r="B1670">
        <v>100667</v>
      </c>
      <c r="C1670" t="s">
        <v>443</v>
      </c>
      <c r="D1670" t="s">
        <v>443</v>
      </c>
    </row>
    <row r="1671" spans="1:4" x14ac:dyDescent="0.3">
      <c r="A1671" t="s">
        <v>1152</v>
      </c>
      <c r="B1671">
        <v>100668</v>
      </c>
      <c r="C1671" t="s">
        <v>237</v>
      </c>
      <c r="D1671" t="s">
        <v>237</v>
      </c>
    </row>
    <row r="1672" spans="1:4" x14ac:dyDescent="0.3">
      <c r="A1672" t="s">
        <v>1152</v>
      </c>
      <c r="B1672">
        <v>100668</v>
      </c>
      <c r="C1672" t="s">
        <v>239</v>
      </c>
      <c r="D1672" t="s">
        <v>239</v>
      </c>
    </row>
    <row r="1673" spans="1:4" x14ac:dyDescent="0.3">
      <c r="A1673" t="s">
        <v>1152</v>
      </c>
      <c r="B1673">
        <v>100668</v>
      </c>
      <c r="C1673" t="s">
        <v>241</v>
      </c>
      <c r="D1673" t="s">
        <v>241</v>
      </c>
    </row>
    <row r="1674" spans="1:4" x14ac:dyDescent="0.3">
      <c r="A1674" t="s">
        <v>1152</v>
      </c>
      <c r="B1674">
        <v>100668</v>
      </c>
      <c r="C1674" t="s">
        <v>243</v>
      </c>
      <c r="D1674" t="s">
        <v>243</v>
      </c>
    </row>
    <row r="1675" spans="1:4" x14ac:dyDescent="0.3">
      <c r="A1675" t="s">
        <v>1152</v>
      </c>
      <c r="B1675">
        <v>100668</v>
      </c>
      <c r="C1675" t="s">
        <v>245</v>
      </c>
      <c r="D1675" t="s">
        <v>245</v>
      </c>
    </row>
    <row r="1676" spans="1:4" x14ac:dyDescent="0.3">
      <c r="A1676" t="s">
        <v>1152</v>
      </c>
      <c r="B1676">
        <v>100668</v>
      </c>
      <c r="C1676" t="s">
        <v>443</v>
      </c>
      <c r="D1676" t="s">
        <v>443</v>
      </c>
    </row>
    <row r="1677" spans="1:4" x14ac:dyDescent="0.3">
      <c r="A1677" t="s">
        <v>1153</v>
      </c>
      <c r="B1677">
        <v>100669</v>
      </c>
      <c r="C1677" t="s">
        <v>237</v>
      </c>
      <c r="D1677" t="s">
        <v>237</v>
      </c>
    </row>
    <row r="1678" spans="1:4" x14ac:dyDescent="0.3">
      <c r="A1678" t="s">
        <v>1153</v>
      </c>
      <c r="B1678">
        <v>100669</v>
      </c>
      <c r="C1678" t="s">
        <v>239</v>
      </c>
      <c r="D1678" t="s">
        <v>239</v>
      </c>
    </row>
    <row r="1679" spans="1:4" x14ac:dyDescent="0.3">
      <c r="A1679" t="s">
        <v>1153</v>
      </c>
      <c r="B1679">
        <v>100669</v>
      </c>
      <c r="C1679" t="s">
        <v>243</v>
      </c>
      <c r="D1679" t="s">
        <v>243</v>
      </c>
    </row>
    <row r="1680" spans="1:4" x14ac:dyDescent="0.3">
      <c r="A1680" t="s">
        <v>1153</v>
      </c>
      <c r="B1680">
        <v>100669</v>
      </c>
      <c r="C1680" t="s">
        <v>245</v>
      </c>
      <c r="D1680" t="s">
        <v>245</v>
      </c>
    </row>
    <row r="1681" spans="1:4" x14ac:dyDescent="0.3">
      <c r="A1681" t="s">
        <v>1153</v>
      </c>
      <c r="B1681">
        <v>100669</v>
      </c>
      <c r="C1681" t="s">
        <v>241</v>
      </c>
      <c r="D1681" t="s">
        <v>241</v>
      </c>
    </row>
    <row r="1682" spans="1:4" x14ac:dyDescent="0.3">
      <c r="A1682" t="s">
        <v>1153</v>
      </c>
      <c r="B1682">
        <v>100669</v>
      </c>
      <c r="C1682" t="s">
        <v>443</v>
      </c>
      <c r="D1682" t="s">
        <v>443</v>
      </c>
    </row>
    <row r="1683" spans="1:4" x14ac:dyDescent="0.3">
      <c r="A1683" t="s">
        <v>1154</v>
      </c>
      <c r="B1683">
        <v>100670</v>
      </c>
      <c r="C1683" t="s">
        <v>237</v>
      </c>
      <c r="D1683" t="s">
        <v>237</v>
      </c>
    </row>
    <row r="1684" spans="1:4" x14ac:dyDescent="0.3">
      <c r="A1684" t="s">
        <v>1154</v>
      </c>
      <c r="B1684">
        <v>100670</v>
      </c>
      <c r="C1684" t="s">
        <v>239</v>
      </c>
      <c r="D1684" t="s">
        <v>239</v>
      </c>
    </row>
    <row r="1685" spans="1:4" x14ac:dyDescent="0.3">
      <c r="A1685" t="s">
        <v>1154</v>
      </c>
      <c r="B1685">
        <v>100670</v>
      </c>
      <c r="C1685" t="s">
        <v>241</v>
      </c>
      <c r="D1685" t="s">
        <v>241</v>
      </c>
    </row>
    <row r="1686" spans="1:4" x14ac:dyDescent="0.3">
      <c r="A1686" t="s">
        <v>1154</v>
      </c>
      <c r="B1686">
        <v>100670</v>
      </c>
      <c r="C1686" t="s">
        <v>243</v>
      </c>
      <c r="D1686" t="s">
        <v>243</v>
      </c>
    </row>
    <row r="1687" spans="1:4" x14ac:dyDescent="0.3">
      <c r="A1687" t="s">
        <v>1154</v>
      </c>
      <c r="B1687">
        <v>100670</v>
      </c>
      <c r="C1687" t="s">
        <v>245</v>
      </c>
      <c r="D1687" t="s">
        <v>245</v>
      </c>
    </row>
    <row r="1688" spans="1:4" x14ac:dyDescent="0.3">
      <c r="A1688" t="s">
        <v>1154</v>
      </c>
      <c r="B1688">
        <v>100670</v>
      </c>
      <c r="C1688" t="s">
        <v>443</v>
      </c>
      <c r="D1688" t="s">
        <v>443</v>
      </c>
    </row>
    <row r="1689" spans="1:4" x14ac:dyDescent="0.3">
      <c r="A1689" t="s">
        <v>1155</v>
      </c>
      <c r="B1689">
        <v>100671</v>
      </c>
      <c r="C1689" t="s">
        <v>237</v>
      </c>
      <c r="D1689" t="s">
        <v>237</v>
      </c>
    </row>
    <row r="1690" spans="1:4" x14ac:dyDescent="0.3">
      <c r="A1690" t="s">
        <v>1155</v>
      </c>
      <c r="B1690">
        <v>100671</v>
      </c>
      <c r="C1690" t="s">
        <v>239</v>
      </c>
      <c r="D1690" t="s">
        <v>239</v>
      </c>
    </row>
    <row r="1691" spans="1:4" x14ac:dyDescent="0.3">
      <c r="A1691" t="s">
        <v>1155</v>
      </c>
      <c r="B1691">
        <v>100671</v>
      </c>
      <c r="C1691" t="s">
        <v>241</v>
      </c>
      <c r="D1691" t="s">
        <v>241</v>
      </c>
    </row>
    <row r="1692" spans="1:4" x14ac:dyDescent="0.3">
      <c r="A1692" t="s">
        <v>1155</v>
      </c>
      <c r="B1692">
        <v>100671</v>
      </c>
      <c r="C1692" t="s">
        <v>243</v>
      </c>
      <c r="D1692" t="s">
        <v>243</v>
      </c>
    </row>
    <row r="1693" spans="1:4" x14ac:dyDescent="0.3">
      <c r="A1693" t="s">
        <v>1155</v>
      </c>
      <c r="B1693">
        <v>100671</v>
      </c>
      <c r="C1693" t="s">
        <v>245</v>
      </c>
      <c r="D1693" t="s">
        <v>245</v>
      </c>
    </row>
    <row r="1694" spans="1:4" x14ac:dyDescent="0.3">
      <c r="A1694" t="s">
        <v>1155</v>
      </c>
      <c r="B1694">
        <v>100671</v>
      </c>
      <c r="C1694" t="s">
        <v>443</v>
      </c>
      <c r="D1694" t="s">
        <v>443</v>
      </c>
    </row>
    <row r="1695" spans="1:4" x14ac:dyDescent="0.3">
      <c r="A1695" t="s">
        <v>1156</v>
      </c>
      <c r="B1695">
        <v>100672</v>
      </c>
      <c r="C1695" t="s">
        <v>237</v>
      </c>
      <c r="D1695" t="s">
        <v>237</v>
      </c>
    </row>
    <row r="1696" spans="1:4" x14ac:dyDescent="0.3">
      <c r="A1696" t="s">
        <v>1156</v>
      </c>
      <c r="B1696">
        <v>100672</v>
      </c>
      <c r="C1696" t="s">
        <v>239</v>
      </c>
      <c r="D1696" t="s">
        <v>239</v>
      </c>
    </row>
    <row r="1697" spans="1:4" x14ac:dyDescent="0.3">
      <c r="A1697" t="s">
        <v>1156</v>
      </c>
      <c r="B1697">
        <v>100672</v>
      </c>
      <c r="C1697" t="s">
        <v>241</v>
      </c>
      <c r="D1697" t="s">
        <v>241</v>
      </c>
    </row>
    <row r="1698" spans="1:4" x14ac:dyDescent="0.3">
      <c r="A1698" t="s">
        <v>1156</v>
      </c>
      <c r="B1698">
        <v>100672</v>
      </c>
      <c r="C1698" t="s">
        <v>243</v>
      </c>
      <c r="D1698" t="s">
        <v>243</v>
      </c>
    </row>
    <row r="1699" spans="1:4" x14ac:dyDescent="0.3">
      <c r="A1699" t="s">
        <v>1156</v>
      </c>
      <c r="B1699">
        <v>100672</v>
      </c>
      <c r="C1699" t="s">
        <v>245</v>
      </c>
      <c r="D1699" t="s">
        <v>245</v>
      </c>
    </row>
    <row r="1700" spans="1:4" x14ac:dyDescent="0.3">
      <c r="A1700" t="s">
        <v>1156</v>
      </c>
      <c r="B1700">
        <v>100672</v>
      </c>
      <c r="C1700" t="s">
        <v>443</v>
      </c>
      <c r="D1700" t="s">
        <v>443</v>
      </c>
    </row>
    <row r="1701" spans="1:4" x14ac:dyDescent="0.3">
      <c r="A1701" t="s">
        <v>1157</v>
      </c>
      <c r="B1701">
        <v>100673</v>
      </c>
      <c r="C1701" t="s">
        <v>237</v>
      </c>
      <c r="D1701" t="s">
        <v>237</v>
      </c>
    </row>
    <row r="1702" spans="1:4" x14ac:dyDescent="0.3">
      <c r="A1702" t="s">
        <v>1157</v>
      </c>
      <c r="B1702">
        <v>100673</v>
      </c>
      <c r="C1702" t="s">
        <v>239</v>
      </c>
      <c r="D1702" t="s">
        <v>239</v>
      </c>
    </row>
    <row r="1703" spans="1:4" x14ac:dyDescent="0.3">
      <c r="A1703" t="s">
        <v>1157</v>
      </c>
      <c r="B1703">
        <v>100673</v>
      </c>
      <c r="C1703" t="s">
        <v>241</v>
      </c>
      <c r="D1703" t="s">
        <v>241</v>
      </c>
    </row>
    <row r="1704" spans="1:4" x14ac:dyDescent="0.3">
      <c r="A1704" t="s">
        <v>1157</v>
      </c>
      <c r="B1704">
        <v>100673</v>
      </c>
      <c r="C1704" t="s">
        <v>243</v>
      </c>
      <c r="D1704" t="s">
        <v>243</v>
      </c>
    </row>
    <row r="1705" spans="1:4" x14ac:dyDescent="0.3">
      <c r="A1705" t="s">
        <v>1157</v>
      </c>
      <c r="B1705">
        <v>100673</v>
      </c>
      <c r="C1705" t="s">
        <v>245</v>
      </c>
      <c r="D1705" t="s">
        <v>245</v>
      </c>
    </row>
    <row r="1706" spans="1:4" x14ac:dyDescent="0.3">
      <c r="A1706" t="s">
        <v>1157</v>
      </c>
      <c r="B1706">
        <v>100673</v>
      </c>
      <c r="C1706" t="s">
        <v>443</v>
      </c>
      <c r="D1706" t="s">
        <v>443</v>
      </c>
    </row>
    <row r="1707" spans="1:4" x14ac:dyDescent="0.3">
      <c r="A1707" t="s">
        <v>1158</v>
      </c>
      <c r="B1707">
        <v>100674</v>
      </c>
      <c r="C1707" t="s">
        <v>237</v>
      </c>
      <c r="D1707" t="s">
        <v>237</v>
      </c>
    </row>
    <row r="1708" spans="1:4" x14ac:dyDescent="0.3">
      <c r="A1708" t="s">
        <v>1158</v>
      </c>
      <c r="B1708">
        <v>100674</v>
      </c>
      <c r="C1708" t="s">
        <v>239</v>
      </c>
      <c r="D1708" t="s">
        <v>239</v>
      </c>
    </row>
    <row r="1709" spans="1:4" x14ac:dyDescent="0.3">
      <c r="A1709" t="s">
        <v>1158</v>
      </c>
      <c r="B1709">
        <v>100674</v>
      </c>
      <c r="C1709" t="s">
        <v>241</v>
      </c>
      <c r="D1709" t="s">
        <v>241</v>
      </c>
    </row>
    <row r="1710" spans="1:4" x14ac:dyDescent="0.3">
      <c r="A1710" t="s">
        <v>1158</v>
      </c>
      <c r="B1710">
        <v>100674</v>
      </c>
      <c r="C1710" t="s">
        <v>243</v>
      </c>
      <c r="D1710" t="s">
        <v>243</v>
      </c>
    </row>
    <row r="1711" spans="1:4" x14ac:dyDescent="0.3">
      <c r="A1711" t="s">
        <v>1158</v>
      </c>
      <c r="B1711">
        <v>100674</v>
      </c>
      <c r="C1711" t="s">
        <v>245</v>
      </c>
      <c r="D1711" t="s">
        <v>245</v>
      </c>
    </row>
    <row r="1712" spans="1:4" x14ac:dyDescent="0.3">
      <c r="A1712" t="s">
        <v>1158</v>
      </c>
      <c r="B1712">
        <v>100674</v>
      </c>
      <c r="C1712" t="s">
        <v>443</v>
      </c>
      <c r="D1712" t="s">
        <v>443</v>
      </c>
    </row>
    <row r="1713" spans="1:4" x14ac:dyDescent="0.3">
      <c r="A1713" t="s">
        <v>1159</v>
      </c>
      <c r="B1713">
        <v>100675</v>
      </c>
      <c r="C1713" t="s">
        <v>237</v>
      </c>
      <c r="D1713" t="s">
        <v>237</v>
      </c>
    </row>
    <row r="1714" spans="1:4" x14ac:dyDescent="0.3">
      <c r="A1714" t="s">
        <v>1159</v>
      </c>
      <c r="B1714">
        <v>100675</v>
      </c>
      <c r="C1714" t="s">
        <v>239</v>
      </c>
      <c r="D1714" t="s">
        <v>239</v>
      </c>
    </row>
    <row r="1715" spans="1:4" x14ac:dyDescent="0.3">
      <c r="A1715" t="s">
        <v>1159</v>
      </c>
      <c r="B1715">
        <v>100675</v>
      </c>
      <c r="C1715" t="s">
        <v>241</v>
      </c>
      <c r="D1715" t="s">
        <v>241</v>
      </c>
    </row>
    <row r="1716" spans="1:4" x14ac:dyDescent="0.3">
      <c r="A1716" t="s">
        <v>1159</v>
      </c>
      <c r="B1716">
        <v>100675</v>
      </c>
      <c r="C1716" t="s">
        <v>243</v>
      </c>
      <c r="D1716" t="s">
        <v>243</v>
      </c>
    </row>
    <row r="1717" spans="1:4" x14ac:dyDescent="0.3">
      <c r="A1717" t="s">
        <v>1159</v>
      </c>
      <c r="B1717">
        <v>100675</v>
      </c>
      <c r="C1717" t="s">
        <v>245</v>
      </c>
      <c r="D1717" t="s">
        <v>245</v>
      </c>
    </row>
    <row r="1718" spans="1:4" x14ac:dyDescent="0.3">
      <c r="A1718" t="s">
        <v>1159</v>
      </c>
      <c r="B1718">
        <v>100675</v>
      </c>
      <c r="C1718" t="s">
        <v>443</v>
      </c>
      <c r="D1718" t="s">
        <v>443</v>
      </c>
    </row>
    <row r="1719" spans="1:4" x14ac:dyDescent="0.3">
      <c r="A1719" t="s">
        <v>1160</v>
      </c>
      <c r="B1719">
        <v>100676</v>
      </c>
      <c r="C1719" t="s">
        <v>237</v>
      </c>
      <c r="D1719" t="s">
        <v>237</v>
      </c>
    </row>
    <row r="1720" spans="1:4" x14ac:dyDescent="0.3">
      <c r="A1720" t="s">
        <v>1160</v>
      </c>
      <c r="B1720">
        <v>100676</v>
      </c>
      <c r="C1720" t="s">
        <v>239</v>
      </c>
      <c r="D1720" t="s">
        <v>239</v>
      </c>
    </row>
    <row r="1721" spans="1:4" x14ac:dyDescent="0.3">
      <c r="A1721" t="s">
        <v>1160</v>
      </c>
      <c r="B1721">
        <v>100676</v>
      </c>
      <c r="C1721" t="s">
        <v>241</v>
      </c>
      <c r="D1721" t="s">
        <v>241</v>
      </c>
    </row>
    <row r="1722" spans="1:4" x14ac:dyDescent="0.3">
      <c r="A1722" t="s">
        <v>1160</v>
      </c>
      <c r="B1722">
        <v>100676</v>
      </c>
      <c r="C1722" t="s">
        <v>243</v>
      </c>
      <c r="D1722" t="s">
        <v>243</v>
      </c>
    </row>
    <row r="1723" spans="1:4" x14ac:dyDescent="0.3">
      <c r="A1723" t="s">
        <v>1160</v>
      </c>
      <c r="B1723">
        <v>100676</v>
      </c>
      <c r="C1723" t="s">
        <v>245</v>
      </c>
      <c r="D1723" t="s">
        <v>245</v>
      </c>
    </row>
    <row r="1724" spans="1:4" x14ac:dyDescent="0.3">
      <c r="A1724" t="s">
        <v>1160</v>
      </c>
      <c r="B1724">
        <v>100676</v>
      </c>
      <c r="C1724" t="s">
        <v>443</v>
      </c>
      <c r="D1724" t="s">
        <v>443</v>
      </c>
    </row>
    <row r="1725" spans="1:4" x14ac:dyDescent="0.3">
      <c r="A1725" t="s">
        <v>1161</v>
      </c>
      <c r="B1725">
        <v>100677</v>
      </c>
      <c r="C1725" t="s">
        <v>237</v>
      </c>
      <c r="D1725" t="s">
        <v>237</v>
      </c>
    </row>
    <row r="1726" spans="1:4" x14ac:dyDescent="0.3">
      <c r="A1726" t="s">
        <v>1161</v>
      </c>
      <c r="B1726">
        <v>100677</v>
      </c>
      <c r="C1726" t="s">
        <v>239</v>
      </c>
      <c r="D1726" t="s">
        <v>239</v>
      </c>
    </row>
    <row r="1727" spans="1:4" x14ac:dyDescent="0.3">
      <c r="A1727" t="s">
        <v>1161</v>
      </c>
      <c r="B1727">
        <v>100677</v>
      </c>
      <c r="C1727" t="s">
        <v>241</v>
      </c>
      <c r="D1727" t="s">
        <v>241</v>
      </c>
    </row>
    <row r="1728" spans="1:4" x14ac:dyDescent="0.3">
      <c r="A1728" t="s">
        <v>1161</v>
      </c>
      <c r="B1728">
        <v>100677</v>
      </c>
      <c r="C1728" t="s">
        <v>243</v>
      </c>
      <c r="D1728" t="s">
        <v>243</v>
      </c>
    </row>
    <row r="1729" spans="1:4" x14ac:dyDescent="0.3">
      <c r="A1729" t="s">
        <v>1161</v>
      </c>
      <c r="B1729">
        <v>100677</v>
      </c>
      <c r="C1729" t="s">
        <v>245</v>
      </c>
      <c r="D1729" t="s">
        <v>245</v>
      </c>
    </row>
    <row r="1730" spans="1:4" x14ac:dyDescent="0.3">
      <c r="A1730" t="s">
        <v>1161</v>
      </c>
      <c r="B1730">
        <v>100677</v>
      </c>
      <c r="C1730" t="s">
        <v>443</v>
      </c>
      <c r="D1730" t="s">
        <v>443</v>
      </c>
    </row>
    <row r="1731" spans="1:4" x14ac:dyDescent="0.3">
      <c r="A1731" t="s">
        <v>1162</v>
      </c>
      <c r="B1731">
        <v>100678</v>
      </c>
      <c r="C1731" t="s">
        <v>237</v>
      </c>
      <c r="D1731" t="s">
        <v>237</v>
      </c>
    </row>
    <row r="1732" spans="1:4" x14ac:dyDescent="0.3">
      <c r="A1732" t="s">
        <v>1162</v>
      </c>
      <c r="B1732">
        <v>100678</v>
      </c>
      <c r="C1732" t="s">
        <v>239</v>
      </c>
      <c r="D1732" t="s">
        <v>239</v>
      </c>
    </row>
    <row r="1733" spans="1:4" x14ac:dyDescent="0.3">
      <c r="A1733" t="s">
        <v>1162</v>
      </c>
      <c r="B1733">
        <v>100678</v>
      </c>
      <c r="C1733" t="s">
        <v>241</v>
      </c>
      <c r="D1733" t="s">
        <v>241</v>
      </c>
    </row>
    <row r="1734" spans="1:4" x14ac:dyDescent="0.3">
      <c r="A1734" t="s">
        <v>1162</v>
      </c>
      <c r="B1734">
        <v>100678</v>
      </c>
      <c r="C1734" t="s">
        <v>243</v>
      </c>
      <c r="D1734" t="s">
        <v>243</v>
      </c>
    </row>
    <row r="1735" spans="1:4" x14ac:dyDescent="0.3">
      <c r="A1735" t="s">
        <v>1162</v>
      </c>
      <c r="B1735">
        <v>100678</v>
      </c>
      <c r="C1735" t="s">
        <v>245</v>
      </c>
      <c r="D1735" t="s">
        <v>245</v>
      </c>
    </row>
    <row r="1736" spans="1:4" x14ac:dyDescent="0.3">
      <c r="A1736" t="s">
        <v>1162</v>
      </c>
      <c r="B1736">
        <v>100678</v>
      </c>
      <c r="C1736" t="s">
        <v>443</v>
      </c>
      <c r="D1736" t="s">
        <v>443</v>
      </c>
    </row>
    <row r="1737" spans="1:4" x14ac:dyDescent="0.3">
      <c r="A1737" t="s">
        <v>1163</v>
      </c>
      <c r="B1737">
        <v>100679</v>
      </c>
      <c r="C1737" t="s">
        <v>237</v>
      </c>
      <c r="D1737" t="s">
        <v>237</v>
      </c>
    </row>
    <row r="1738" spans="1:4" x14ac:dyDescent="0.3">
      <c r="A1738" t="s">
        <v>1163</v>
      </c>
      <c r="B1738">
        <v>100679</v>
      </c>
      <c r="C1738" t="s">
        <v>239</v>
      </c>
      <c r="D1738" t="s">
        <v>239</v>
      </c>
    </row>
    <row r="1739" spans="1:4" x14ac:dyDescent="0.3">
      <c r="A1739" t="s">
        <v>1163</v>
      </c>
      <c r="B1739">
        <v>100679</v>
      </c>
      <c r="C1739" t="s">
        <v>241</v>
      </c>
      <c r="D1739" t="s">
        <v>241</v>
      </c>
    </row>
    <row r="1740" spans="1:4" x14ac:dyDescent="0.3">
      <c r="A1740" t="s">
        <v>1163</v>
      </c>
      <c r="B1740">
        <v>100679</v>
      </c>
      <c r="C1740" t="s">
        <v>243</v>
      </c>
      <c r="D1740" t="s">
        <v>243</v>
      </c>
    </row>
    <row r="1741" spans="1:4" x14ac:dyDescent="0.3">
      <c r="A1741" t="s">
        <v>1163</v>
      </c>
      <c r="B1741">
        <v>100679</v>
      </c>
      <c r="C1741" t="s">
        <v>245</v>
      </c>
      <c r="D1741" t="s">
        <v>245</v>
      </c>
    </row>
    <row r="1742" spans="1:4" x14ac:dyDescent="0.3">
      <c r="A1742" t="s">
        <v>1163</v>
      </c>
      <c r="B1742">
        <v>100679</v>
      </c>
      <c r="C1742" t="s">
        <v>443</v>
      </c>
      <c r="D1742" t="s">
        <v>443</v>
      </c>
    </row>
    <row r="1743" spans="1:4" x14ac:dyDescent="0.3">
      <c r="A1743" t="s">
        <v>1164</v>
      </c>
      <c r="B1743">
        <v>100680</v>
      </c>
      <c r="C1743" t="s">
        <v>237</v>
      </c>
      <c r="D1743" t="s">
        <v>237</v>
      </c>
    </row>
    <row r="1744" spans="1:4" x14ac:dyDescent="0.3">
      <c r="A1744" t="s">
        <v>1164</v>
      </c>
      <c r="B1744">
        <v>100680</v>
      </c>
      <c r="C1744" t="s">
        <v>239</v>
      </c>
      <c r="D1744" t="s">
        <v>239</v>
      </c>
    </row>
    <row r="1745" spans="1:4" x14ac:dyDescent="0.3">
      <c r="A1745" t="s">
        <v>1164</v>
      </c>
      <c r="B1745">
        <v>100680</v>
      </c>
      <c r="C1745" t="s">
        <v>241</v>
      </c>
      <c r="D1745" t="s">
        <v>241</v>
      </c>
    </row>
    <row r="1746" spans="1:4" x14ac:dyDescent="0.3">
      <c r="A1746" t="s">
        <v>1164</v>
      </c>
      <c r="B1746">
        <v>100680</v>
      </c>
      <c r="C1746" t="s">
        <v>243</v>
      </c>
      <c r="D1746" t="s">
        <v>243</v>
      </c>
    </row>
    <row r="1747" spans="1:4" x14ac:dyDescent="0.3">
      <c r="A1747" t="s">
        <v>1164</v>
      </c>
      <c r="B1747">
        <v>100680</v>
      </c>
      <c r="C1747" t="s">
        <v>245</v>
      </c>
      <c r="D1747" t="s">
        <v>245</v>
      </c>
    </row>
    <row r="1748" spans="1:4" x14ac:dyDescent="0.3">
      <c r="A1748" t="s">
        <v>1164</v>
      </c>
      <c r="B1748">
        <v>100680</v>
      </c>
      <c r="C1748" t="s">
        <v>443</v>
      </c>
      <c r="D1748" t="s">
        <v>443</v>
      </c>
    </row>
    <row r="1749" spans="1:4" x14ac:dyDescent="0.3">
      <c r="A1749" t="s">
        <v>1165</v>
      </c>
      <c r="B1749">
        <v>100681</v>
      </c>
      <c r="C1749" t="s">
        <v>237</v>
      </c>
      <c r="D1749" t="s">
        <v>237</v>
      </c>
    </row>
    <row r="1750" spans="1:4" x14ac:dyDescent="0.3">
      <c r="A1750" t="s">
        <v>1165</v>
      </c>
      <c r="B1750">
        <v>100681</v>
      </c>
      <c r="C1750" t="s">
        <v>239</v>
      </c>
      <c r="D1750" t="s">
        <v>239</v>
      </c>
    </row>
    <row r="1751" spans="1:4" x14ac:dyDescent="0.3">
      <c r="A1751" t="s">
        <v>1165</v>
      </c>
      <c r="B1751">
        <v>100681</v>
      </c>
      <c r="C1751" t="s">
        <v>241</v>
      </c>
      <c r="D1751" t="s">
        <v>241</v>
      </c>
    </row>
    <row r="1752" spans="1:4" x14ac:dyDescent="0.3">
      <c r="A1752" t="s">
        <v>1165</v>
      </c>
      <c r="B1752">
        <v>100681</v>
      </c>
      <c r="C1752" t="s">
        <v>243</v>
      </c>
      <c r="D1752" t="s">
        <v>243</v>
      </c>
    </row>
    <row r="1753" spans="1:4" x14ac:dyDescent="0.3">
      <c r="A1753" t="s">
        <v>1165</v>
      </c>
      <c r="B1753">
        <v>100681</v>
      </c>
      <c r="C1753" t="s">
        <v>245</v>
      </c>
      <c r="D1753" t="s">
        <v>245</v>
      </c>
    </row>
    <row r="1754" spans="1:4" x14ac:dyDescent="0.3">
      <c r="A1754" t="s">
        <v>1165</v>
      </c>
      <c r="B1754">
        <v>100681</v>
      </c>
      <c r="C1754" t="s">
        <v>443</v>
      </c>
      <c r="D1754" t="s">
        <v>443</v>
      </c>
    </row>
    <row r="1755" spans="1:4" x14ac:dyDescent="0.3">
      <c r="A1755" t="s">
        <v>1166</v>
      </c>
      <c r="B1755">
        <v>100682</v>
      </c>
      <c r="C1755" t="s">
        <v>237</v>
      </c>
      <c r="D1755" t="s">
        <v>237</v>
      </c>
    </row>
    <row r="1756" spans="1:4" x14ac:dyDescent="0.3">
      <c r="A1756" t="s">
        <v>1166</v>
      </c>
      <c r="B1756">
        <v>100682</v>
      </c>
      <c r="C1756" t="s">
        <v>239</v>
      </c>
      <c r="D1756" t="s">
        <v>239</v>
      </c>
    </row>
    <row r="1757" spans="1:4" x14ac:dyDescent="0.3">
      <c r="A1757" t="s">
        <v>1166</v>
      </c>
      <c r="B1757">
        <v>100682</v>
      </c>
      <c r="C1757" t="s">
        <v>241</v>
      </c>
      <c r="D1757" t="s">
        <v>241</v>
      </c>
    </row>
    <row r="1758" spans="1:4" x14ac:dyDescent="0.3">
      <c r="A1758" t="s">
        <v>1166</v>
      </c>
      <c r="B1758">
        <v>100682</v>
      </c>
      <c r="C1758" t="s">
        <v>243</v>
      </c>
      <c r="D1758" t="s">
        <v>243</v>
      </c>
    </row>
    <row r="1759" spans="1:4" x14ac:dyDescent="0.3">
      <c r="A1759" t="s">
        <v>1166</v>
      </c>
      <c r="B1759">
        <v>100682</v>
      </c>
      <c r="C1759" t="s">
        <v>245</v>
      </c>
      <c r="D1759" t="s">
        <v>245</v>
      </c>
    </row>
    <row r="1760" spans="1:4" x14ac:dyDescent="0.3">
      <c r="A1760" t="s">
        <v>1166</v>
      </c>
      <c r="B1760">
        <v>100682</v>
      </c>
      <c r="C1760" t="s">
        <v>443</v>
      </c>
      <c r="D1760" t="s">
        <v>443</v>
      </c>
    </row>
    <row r="1761" spans="1:4" x14ac:dyDescent="0.3">
      <c r="A1761" t="s">
        <v>1167</v>
      </c>
      <c r="B1761">
        <v>100683</v>
      </c>
      <c r="C1761" t="s">
        <v>237</v>
      </c>
      <c r="D1761" t="s">
        <v>237</v>
      </c>
    </row>
    <row r="1762" spans="1:4" x14ac:dyDescent="0.3">
      <c r="A1762" t="s">
        <v>1167</v>
      </c>
      <c r="B1762">
        <v>100683</v>
      </c>
      <c r="C1762" t="s">
        <v>239</v>
      </c>
      <c r="D1762" t="s">
        <v>239</v>
      </c>
    </row>
    <row r="1763" spans="1:4" x14ac:dyDescent="0.3">
      <c r="A1763" t="s">
        <v>1167</v>
      </c>
      <c r="B1763">
        <v>100683</v>
      </c>
      <c r="C1763" t="s">
        <v>241</v>
      </c>
      <c r="D1763" t="s">
        <v>241</v>
      </c>
    </row>
    <row r="1764" spans="1:4" x14ac:dyDescent="0.3">
      <c r="A1764" t="s">
        <v>1167</v>
      </c>
      <c r="B1764">
        <v>100683</v>
      </c>
      <c r="C1764" t="s">
        <v>243</v>
      </c>
      <c r="D1764" t="s">
        <v>243</v>
      </c>
    </row>
    <row r="1765" spans="1:4" x14ac:dyDescent="0.3">
      <c r="A1765" t="s">
        <v>1167</v>
      </c>
      <c r="B1765">
        <v>100683</v>
      </c>
      <c r="C1765" t="s">
        <v>245</v>
      </c>
      <c r="D1765" t="s">
        <v>245</v>
      </c>
    </row>
    <row r="1766" spans="1:4" x14ac:dyDescent="0.3">
      <c r="A1766" t="s">
        <v>1167</v>
      </c>
      <c r="B1766">
        <v>100683</v>
      </c>
      <c r="C1766" t="s">
        <v>443</v>
      </c>
      <c r="D1766" t="s">
        <v>443</v>
      </c>
    </row>
    <row r="1767" spans="1:4" x14ac:dyDescent="0.3">
      <c r="A1767" t="s">
        <v>1168</v>
      </c>
      <c r="B1767">
        <v>100684</v>
      </c>
      <c r="C1767" t="s">
        <v>237</v>
      </c>
      <c r="D1767" t="s">
        <v>237</v>
      </c>
    </row>
    <row r="1768" spans="1:4" x14ac:dyDescent="0.3">
      <c r="A1768" t="s">
        <v>1168</v>
      </c>
      <c r="B1768">
        <v>100684</v>
      </c>
      <c r="C1768" t="s">
        <v>239</v>
      </c>
      <c r="D1768" t="s">
        <v>239</v>
      </c>
    </row>
    <row r="1769" spans="1:4" x14ac:dyDescent="0.3">
      <c r="A1769" t="s">
        <v>1168</v>
      </c>
      <c r="B1769">
        <v>100684</v>
      </c>
      <c r="C1769" t="s">
        <v>241</v>
      </c>
      <c r="D1769" t="s">
        <v>241</v>
      </c>
    </row>
    <row r="1770" spans="1:4" x14ac:dyDescent="0.3">
      <c r="A1770" t="s">
        <v>1168</v>
      </c>
      <c r="B1770">
        <v>100684</v>
      </c>
      <c r="C1770" t="s">
        <v>243</v>
      </c>
      <c r="D1770" t="s">
        <v>243</v>
      </c>
    </row>
    <row r="1771" spans="1:4" x14ac:dyDescent="0.3">
      <c r="A1771" t="s">
        <v>1168</v>
      </c>
      <c r="B1771">
        <v>100684</v>
      </c>
      <c r="C1771" t="s">
        <v>245</v>
      </c>
      <c r="D1771" t="s">
        <v>245</v>
      </c>
    </row>
    <row r="1772" spans="1:4" x14ac:dyDescent="0.3">
      <c r="A1772" t="s">
        <v>1168</v>
      </c>
      <c r="B1772">
        <v>100684</v>
      </c>
      <c r="C1772" t="s">
        <v>443</v>
      </c>
      <c r="D1772" t="s">
        <v>443</v>
      </c>
    </row>
    <row r="1773" spans="1:4" x14ac:dyDescent="0.3">
      <c r="A1773" t="s">
        <v>1169</v>
      </c>
      <c r="B1773">
        <v>100685</v>
      </c>
      <c r="C1773" t="s">
        <v>237</v>
      </c>
      <c r="D1773" t="s">
        <v>237</v>
      </c>
    </row>
    <row r="1774" spans="1:4" x14ac:dyDescent="0.3">
      <c r="A1774" t="s">
        <v>1169</v>
      </c>
      <c r="B1774">
        <v>100685</v>
      </c>
      <c r="C1774" t="s">
        <v>239</v>
      </c>
      <c r="D1774" t="s">
        <v>239</v>
      </c>
    </row>
    <row r="1775" spans="1:4" x14ac:dyDescent="0.3">
      <c r="A1775" t="s">
        <v>1169</v>
      </c>
      <c r="B1775">
        <v>100685</v>
      </c>
      <c r="C1775" t="s">
        <v>241</v>
      </c>
      <c r="D1775" t="s">
        <v>241</v>
      </c>
    </row>
    <row r="1776" spans="1:4" x14ac:dyDescent="0.3">
      <c r="A1776" t="s">
        <v>1169</v>
      </c>
      <c r="B1776">
        <v>100685</v>
      </c>
      <c r="C1776" t="s">
        <v>243</v>
      </c>
      <c r="D1776" t="s">
        <v>243</v>
      </c>
    </row>
    <row r="1777" spans="1:4" x14ac:dyDescent="0.3">
      <c r="A1777" t="s">
        <v>1169</v>
      </c>
      <c r="B1777">
        <v>100685</v>
      </c>
      <c r="C1777" t="s">
        <v>245</v>
      </c>
      <c r="D1777" t="s">
        <v>245</v>
      </c>
    </row>
    <row r="1778" spans="1:4" x14ac:dyDescent="0.3">
      <c r="A1778" t="s">
        <v>1169</v>
      </c>
      <c r="B1778">
        <v>100685</v>
      </c>
      <c r="C1778" t="s">
        <v>443</v>
      </c>
      <c r="D1778" t="s">
        <v>443</v>
      </c>
    </row>
    <row r="1779" spans="1:4" x14ac:dyDescent="0.3">
      <c r="A1779" t="s">
        <v>1170</v>
      </c>
      <c r="B1779">
        <v>100686</v>
      </c>
      <c r="C1779" t="s">
        <v>237</v>
      </c>
      <c r="D1779" t="s">
        <v>237</v>
      </c>
    </row>
    <row r="1780" spans="1:4" x14ac:dyDescent="0.3">
      <c r="A1780" t="s">
        <v>1170</v>
      </c>
      <c r="B1780">
        <v>100686</v>
      </c>
      <c r="C1780" t="s">
        <v>239</v>
      </c>
      <c r="D1780" t="s">
        <v>239</v>
      </c>
    </row>
    <row r="1781" spans="1:4" x14ac:dyDescent="0.3">
      <c r="A1781" t="s">
        <v>1170</v>
      </c>
      <c r="B1781">
        <v>100686</v>
      </c>
      <c r="C1781" t="s">
        <v>241</v>
      </c>
      <c r="D1781" t="s">
        <v>241</v>
      </c>
    </row>
    <row r="1782" spans="1:4" x14ac:dyDescent="0.3">
      <c r="A1782" t="s">
        <v>1170</v>
      </c>
      <c r="B1782">
        <v>100686</v>
      </c>
      <c r="C1782" t="s">
        <v>243</v>
      </c>
      <c r="D1782" t="s">
        <v>243</v>
      </c>
    </row>
    <row r="1783" spans="1:4" x14ac:dyDescent="0.3">
      <c r="A1783" t="s">
        <v>1170</v>
      </c>
      <c r="B1783">
        <v>100686</v>
      </c>
      <c r="C1783" t="s">
        <v>245</v>
      </c>
      <c r="D1783" t="s">
        <v>245</v>
      </c>
    </row>
    <row r="1784" spans="1:4" x14ac:dyDescent="0.3">
      <c r="A1784" t="s">
        <v>1170</v>
      </c>
      <c r="B1784">
        <v>100686</v>
      </c>
      <c r="C1784" t="s">
        <v>443</v>
      </c>
      <c r="D1784" t="s">
        <v>443</v>
      </c>
    </row>
    <row r="1785" spans="1:4" x14ac:dyDescent="0.3">
      <c r="A1785" t="s">
        <v>1171</v>
      </c>
      <c r="B1785">
        <v>100687</v>
      </c>
      <c r="C1785" t="s">
        <v>237</v>
      </c>
      <c r="D1785" t="s">
        <v>237</v>
      </c>
    </row>
    <row r="1786" spans="1:4" x14ac:dyDescent="0.3">
      <c r="A1786" t="s">
        <v>1171</v>
      </c>
      <c r="B1786">
        <v>100687</v>
      </c>
      <c r="C1786" t="s">
        <v>239</v>
      </c>
      <c r="D1786" t="s">
        <v>239</v>
      </c>
    </row>
    <row r="1787" spans="1:4" x14ac:dyDescent="0.3">
      <c r="A1787" t="s">
        <v>1171</v>
      </c>
      <c r="B1787">
        <v>100687</v>
      </c>
      <c r="C1787" t="s">
        <v>241</v>
      </c>
      <c r="D1787" t="s">
        <v>241</v>
      </c>
    </row>
    <row r="1788" spans="1:4" x14ac:dyDescent="0.3">
      <c r="A1788" t="s">
        <v>1171</v>
      </c>
      <c r="B1788">
        <v>100687</v>
      </c>
      <c r="C1788" t="s">
        <v>243</v>
      </c>
      <c r="D1788" t="s">
        <v>243</v>
      </c>
    </row>
    <row r="1789" spans="1:4" x14ac:dyDescent="0.3">
      <c r="A1789" t="s">
        <v>1171</v>
      </c>
      <c r="B1789">
        <v>100687</v>
      </c>
      <c r="C1789" t="s">
        <v>245</v>
      </c>
      <c r="D1789" t="s">
        <v>245</v>
      </c>
    </row>
    <row r="1790" spans="1:4" x14ac:dyDescent="0.3">
      <c r="A1790" t="s">
        <v>1171</v>
      </c>
      <c r="B1790">
        <v>100687</v>
      </c>
      <c r="C1790" t="s">
        <v>443</v>
      </c>
      <c r="D1790" t="s">
        <v>443</v>
      </c>
    </row>
    <row r="1791" spans="1:4" x14ac:dyDescent="0.3">
      <c r="A1791" t="s">
        <v>1172</v>
      </c>
      <c r="B1791">
        <v>100688</v>
      </c>
      <c r="C1791" t="s">
        <v>237</v>
      </c>
      <c r="D1791" t="s">
        <v>237</v>
      </c>
    </row>
    <row r="1792" spans="1:4" x14ac:dyDescent="0.3">
      <c r="A1792" t="s">
        <v>1172</v>
      </c>
      <c r="B1792">
        <v>100688</v>
      </c>
      <c r="C1792" t="s">
        <v>239</v>
      </c>
      <c r="D1792" t="s">
        <v>239</v>
      </c>
    </row>
    <row r="1793" spans="1:4" x14ac:dyDescent="0.3">
      <c r="A1793" t="s">
        <v>1172</v>
      </c>
      <c r="B1793">
        <v>100688</v>
      </c>
      <c r="C1793" t="s">
        <v>241</v>
      </c>
      <c r="D1793" t="s">
        <v>241</v>
      </c>
    </row>
    <row r="1794" spans="1:4" x14ac:dyDescent="0.3">
      <c r="A1794" t="s">
        <v>1172</v>
      </c>
      <c r="B1794">
        <v>100688</v>
      </c>
      <c r="C1794" t="s">
        <v>243</v>
      </c>
      <c r="D1794" t="s">
        <v>243</v>
      </c>
    </row>
    <row r="1795" spans="1:4" x14ac:dyDescent="0.3">
      <c r="A1795" t="s">
        <v>1172</v>
      </c>
      <c r="B1795">
        <v>100688</v>
      </c>
      <c r="C1795" t="s">
        <v>245</v>
      </c>
      <c r="D1795" t="s">
        <v>245</v>
      </c>
    </row>
    <row r="1796" spans="1:4" x14ac:dyDescent="0.3">
      <c r="A1796" t="s">
        <v>1172</v>
      </c>
      <c r="B1796">
        <v>100688</v>
      </c>
      <c r="C1796" t="s">
        <v>443</v>
      </c>
      <c r="D1796" t="s">
        <v>443</v>
      </c>
    </row>
    <row r="1797" spans="1:4" x14ac:dyDescent="0.3">
      <c r="A1797" t="s">
        <v>1173</v>
      </c>
      <c r="B1797">
        <v>100689</v>
      </c>
      <c r="C1797" t="s">
        <v>237</v>
      </c>
      <c r="D1797" t="s">
        <v>237</v>
      </c>
    </row>
    <row r="1798" spans="1:4" x14ac:dyDescent="0.3">
      <c r="A1798" t="s">
        <v>1173</v>
      </c>
      <c r="B1798">
        <v>100689</v>
      </c>
      <c r="C1798" t="s">
        <v>239</v>
      </c>
      <c r="D1798" t="s">
        <v>239</v>
      </c>
    </row>
    <row r="1799" spans="1:4" x14ac:dyDescent="0.3">
      <c r="A1799" t="s">
        <v>1173</v>
      </c>
      <c r="B1799">
        <v>100689</v>
      </c>
      <c r="C1799" t="s">
        <v>241</v>
      </c>
      <c r="D1799" t="s">
        <v>241</v>
      </c>
    </row>
    <row r="1800" spans="1:4" x14ac:dyDescent="0.3">
      <c r="A1800" t="s">
        <v>1173</v>
      </c>
      <c r="B1800">
        <v>100689</v>
      </c>
      <c r="C1800" t="s">
        <v>243</v>
      </c>
      <c r="D1800" t="s">
        <v>243</v>
      </c>
    </row>
    <row r="1801" spans="1:4" x14ac:dyDescent="0.3">
      <c r="A1801" t="s">
        <v>1173</v>
      </c>
      <c r="B1801">
        <v>100689</v>
      </c>
      <c r="C1801" t="s">
        <v>245</v>
      </c>
      <c r="D1801" t="s">
        <v>245</v>
      </c>
    </row>
    <row r="1802" spans="1:4" x14ac:dyDescent="0.3">
      <c r="A1802" t="s">
        <v>1173</v>
      </c>
      <c r="B1802">
        <v>100689</v>
      </c>
      <c r="C1802" t="s">
        <v>443</v>
      </c>
      <c r="D1802" t="s">
        <v>443</v>
      </c>
    </row>
    <row r="1803" spans="1:4" x14ac:dyDescent="0.3">
      <c r="A1803" t="s">
        <v>1174</v>
      </c>
      <c r="B1803">
        <v>100690</v>
      </c>
      <c r="C1803" t="s">
        <v>237</v>
      </c>
      <c r="D1803" t="s">
        <v>237</v>
      </c>
    </row>
    <row r="1804" spans="1:4" x14ac:dyDescent="0.3">
      <c r="A1804" t="s">
        <v>1174</v>
      </c>
      <c r="B1804">
        <v>100690</v>
      </c>
      <c r="C1804" t="s">
        <v>239</v>
      </c>
      <c r="D1804" t="s">
        <v>239</v>
      </c>
    </row>
    <row r="1805" spans="1:4" x14ac:dyDescent="0.3">
      <c r="A1805" t="s">
        <v>1174</v>
      </c>
      <c r="B1805">
        <v>100690</v>
      </c>
      <c r="C1805" t="s">
        <v>241</v>
      </c>
      <c r="D1805" t="s">
        <v>241</v>
      </c>
    </row>
    <row r="1806" spans="1:4" x14ac:dyDescent="0.3">
      <c r="A1806" t="s">
        <v>1174</v>
      </c>
      <c r="B1806">
        <v>100690</v>
      </c>
      <c r="C1806" t="s">
        <v>243</v>
      </c>
      <c r="D1806" t="s">
        <v>243</v>
      </c>
    </row>
    <row r="1807" spans="1:4" x14ac:dyDescent="0.3">
      <c r="A1807" t="s">
        <v>1174</v>
      </c>
      <c r="B1807">
        <v>100690</v>
      </c>
      <c r="C1807" t="s">
        <v>245</v>
      </c>
      <c r="D1807" t="s">
        <v>245</v>
      </c>
    </row>
    <row r="1808" spans="1:4" x14ac:dyDescent="0.3">
      <c r="A1808" t="s">
        <v>1174</v>
      </c>
      <c r="B1808">
        <v>100690</v>
      </c>
      <c r="C1808" t="s">
        <v>443</v>
      </c>
      <c r="D1808" t="s">
        <v>443</v>
      </c>
    </row>
    <row r="1809" spans="1:4" x14ac:dyDescent="0.3">
      <c r="A1809" t="s">
        <v>1175</v>
      </c>
      <c r="B1809">
        <v>100691</v>
      </c>
      <c r="C1809" t="s">
        <v>237</v>
      </c>
      <c r="D1809" t="s">
        <v>237</v>
      </c>
    </row>
    <row r="1810" spans="1:4" x14ac:dyDescent="0.3">
      <c r="A1810" t="s">
        <v>1175</v>
      </c>
      <c r="B1810">
        <v>100691</v>
      </c>
      <c r="C1810" t="s">
        <v>239</v>
      </c>
      <c r="D1810" t="s">
        <v>239</v>
      </c>
    </row>
    <row r="1811" spans="1:4" x14ac:dyDescent="0.3">
      <c r="A1811" t="s">
        <v>1175</v>
      </c>
      <c r="B1811">
        <v>100691</v>
      </c>
      <c r="C1811" t="s">
        <v>241</v>
      </c>
      <c r="D1811" t="s">
        <v>241</v>
      </c>
    </row>
    <row r="1812" spans="1:4" x14ac:dyDescent="0.3">
      <c r="A1812" t="s">
        <v>1175</v>
      </c>
      <c r="B1812">
        <v>100691</v>
      </c>
      <c r="C1812" t="s">
        <v>243</v>
      </c>
      <c r="D1812" t="s">
        <v>243</v>
      </c>
    </row>
    <row r="1813" spans="1:4" x14ac:dyDescent="0.3">
      <c r="A1813" t="s">
        <v>1175</v>
      </c>
      <c r="B1813">
        <v>100691</v>
      </c>
      <c r="C1813" t="s">
        <v>245</v>
      </c>
      <c r="D1813" t="s">
        <v>245</v>
      </c>
    </row>
    <row r="1814" spans="1:4" x14ac:dyDescent="0.3">
      <c r="A1814" t="s">
        <v>1175</v>
      </c>
      <c r="B1814">
        <v>100691</v>
      </c>
      <c r="C1814" t="s">
        <v>443</v>
      </c>
      <c r="D1814" t="s">
        <v>443</v>
      </c>
    </row>
    <row r="1815" spans="1:4" x14ac:dyDescent="0.3">
      <c r="A1815" t="s">
        <v>1176</v>
      </c>
      <c r="B1815">
        <v>100692</v>
      </c>
      <c r="C1815" t="s">
        <v>237</v>
      </c>
      <c r="D1815" t="s">
        <v>237</v>
      </c>
    </row>
    <row r="1816" spans="1:4" x14ac:dyDescent="0.3">
      <c r="A1816" t="s">
        <v>1176</v>
      </c>
      <c r="B1816">
        <v>100692</v>
      </c>
      <c r="C1816" t="s">
        <v>239</v>
      </c>
      <c r="D1816" t="s">
        <v>239</v>
      </c>
    </row>
    <row r="1817" spans="1:4" x14ac:dyDescent="0.3">
      <c r="A1817" t="s">
        <v>1176</v>
      </c>
      <c r="B1817">
        <v>100692</v>
      </c>
      <c r="C1817" t="s">
        <v>241</v>
      </c>
      <c r="D1817" t="s">
        <v>241</v>
      </c>
    </row>
    <row r="1818" spans="1:4" x14ac:dyDescent="0.3">
      <c r="A1818" t="s">
        <v>1176</v>
      </c>
      <c r="B1818">
        <v>100692</v>
      </c>
      <c r="C1818" t="s">
        <v>243</v>
      </c>
      <c r="D1818" t="s">
        <v>243</v>
      </c>
    </row>
    <row r="1819" spans="1:4" x14ac:dyDescent="0.3">
      <c r="A1819" t="s">
        <v>1176</v>
      </c>
      <c r="B1819">
        <v>100692</v>
      </c>
      <c r="C1819" t="s">
        <v>245</v>
      </c>
      <c r="D1819" t="s">
        <v>245</v>
      </c>
    </row>
    <row r="1820" spans="1:4" x14ac:dyDescent="0.3">
      <c r="A1820" t="s">
        <v>1176</v>
      </c>
      <c r="B1820">
        <v>100692</v>
      </c>
      <c r="C1820" t="s">
        <v>443</v>
      </c>
      <c r="D1820" t="s">
        <v>443</v>
      </c>
    </row>
    <row r="1821" spans="1:4" x14ac:dyDescent="0.3">
      <c r="A1821" t="s">
        <v>1177</v>
      </c>
      <c r="B1821">
        <v>100693</v>
      </c>
      <c r="C1821" t="s">
        <v>237</v>
      </c>
      <c r="D1821" t="s">
        <v>237</v>
      </c>
    </row>
    <row r="1822" spans="1:4" x14ac:dyDescent="0.3">
      <c r="A1822" t="s">
        <v>1177</v>
      </c>
      <c r="B1822">
        <v>100693</v>
      </c>
      <c r="C1822" t="s">
        <v>239</v>
      </c>
      <c r="D1822" t="s">
        <v>239</v>
      </c>
    </row>
    <row r="1823" spans="1:4" x14ac:dyDescent="0.3">
      <c r="A1823" t="s">
        <v>1177</v>
      </c>
      <c r="B1823">
        <v>100693</v>
      </c>
      <c r="C1823" t="s">
        <v>241</v>
      </c>
      <c r="D1823" t="s">
        <v>241</v>
      </c>
    </row>
    <row r="1824" spans="1:4" x14ac:dyDescent="0.3">
      <c r="A1824" t="s">
        <v>1177</v>
      </c>
      <c r="B1824">
        <v>100693</v>
      </c>
      <c r="C1824" t="s">
        <v>243</v>
      </c>
      <c r="D1824" t="s">
        <v>243</v>
      </c>
    </row>
    <row r="1825" spans="1:4" x14ac:dyDescent="0.3">
      <c r="A1825" t="s">
        <v>1177</v>
      </c>
      <c r="B1825">
        <v>100693</v>
      </c>
      <c r="C1825" t="s">
        <v>245</v>
      </c>
      <c r="D1825" t="s">
        <v>245</v>
      </c>
    </row>
    <row r="1826" spans="1:4" x14ac:dyDescent="0.3">
      <c r="A1826" t="s">
        <v>1177</v>
      </c>
      <c r="B1826">
        <v>100693</v>
      </c>
      <c r="C1826" t="s">
        <v>443</v>
      </c>
      <c r="D1826" t="s">
        <v>443</v>
      </c>
    </row>
    <row r="1827" spans="1:4" x14ac:dyDescent="0.3">
      <c r="A1827" t="s">
        <v>1178</v>
      </c>
      <c r="B1827">
        <v>100694</v>
      </c>
      <c r="C1827" t="s">
        <v>237</v>
      </c>
      <c r="D1827" t="s">
        <v>237</v>
      </c>
    </row>
    <row r="1828" spans="1:4" x14ac:dyDescent="0.3">
      <c r="A1828" t="s">
        <v>1178</v>
      </c>
      <c r="B1828">
        <v>100694</v>
      </c>
      <c r="C1828" t="s">
        <v>239</v>
      </c>
      <c r="D1828" t="s">
        <v>239</v>
      </c>
    </row>
    <row r="1829" spans="1:4" x14ac:dyDescent="0.3">
      <c r="A1829" t="s">
        <v>1178</v>
      </c>
      <c r="B1829">
        <v>100694</v>
      </c>
      <c r="C1829" t="s">
        <v>241</v>
      </c>
      <c r="D1829" t="s">
        <v>241</v>
      </c>
    </row>
    <row r="1830" spans="1:4" x14ac:dyDescent="0.3">
      <c r="A1830" t="s">
        <v>1178</v>
      </c>
      <c r="B1830">
        <v>100694</v>
      </c>
      <c r="C1830" t="s">
        <v>243</v>
      </c>
      <c r="D1830" t="s">
        <v>243</v>
      </c>
    </row>
    <row r="1831" spans="1:4" x14ac:dyDescent="0.3">
      <c r="A1831" t="s">
        <v>1178</v>
      </c>
      <c r="B1831">
        <v>100694</v>
      </c>
      <c r="C1831" t="s">
        <v>245</v>
      </c>
      <c r="D1831" t="s">
        <v>245</v>
      </c>
    </row>
    <row r="1832" spans="1:4" x14ac:dyDescent="0.3">
      <c r="A1832" t="s">
        <v>1178</v>
      </c>
      <c r="B1832">
        <v>100694</v>
      </c>
      <c r="C1832" t="s">
        <v>443</v>
      </c>
      <c r="D1832" t="s">
        <v>443</v>
      </c>
    </row>
    <row r="1833" spans="1:4" x14ac:dyDescent="0.3">
      <c r="A1833" t="s">
        <v>1179</v>
      </c>
      <c r="B1833">
        <v>100695</v>
      </c>
      <c r="C1833" t="s">
        <v>237</v>
      </c>
      <c r="D1833" t="s">
        <v>237</v>
      </c>
    </row>
    <row r="1834" spans="1:4" x14ac:dyDescent="0.3">
      <c r="A1834" t="s">
        <v>1179</v>
      </c>
      <c r="B1834">
        <v>100695</v>
      </c>
      <c r="C1834" t="s">
        <v>239</v>
      </c>
      <c r="D1834" t="s">
        <v>239</v>
      </c>
    </row>
    <row r="1835" spans="1:4" x14ac:dyDescent="0.3">
      <c r="A1835" t="s">
        <v>1179</v>
      </c>
      <c r="B1835">
        <v>100695</v>
      </c>
      <c r="C1835" t="s">
        <v>241</v>
      </c>
      <c r="D1835" t="s">
        <v>241</v>
      </c>
    </row>
    <row r="1836" spans="1:4" x14ac:dyDescent="0.3">
      <c r="A1836" t="s">
        <v>1179</v>
      </c>
      <c r="B1836">
        <v>100695</v>
      </c>
      <c r="C1836" t="s">
        <v>243</v>
      </c>
      <c r="D1836" t="s">
        <v>243</v>
      </c>
    </row>
    <row r="1837" spans="1:4" x14ac:dyDescent="0.3">
      <c r="A1837" t="s">
        <v>1179</v>
      </c>
      <c r="B1837">
        <v>100695</v>
      </c>
      <c r="C1837" t="s">
        <v>245</v>
      </c>
      <c r="D1837" t="s">
        <v>245</v>
      </c>
    </row>
    <row r="1838" spans="1:4" x14ac:dyDescent="0.3">
      <c r="A1838" t="s">
        <v>1179</v>
      </c>
      <c r="B1838">
        <v>100695</v>
      </c>
      <c r="C1838" t="s">
        <v>443</v>
      </c>
      <c r="D1838" t="s">
        <v>443</v>
      </c>
    </row>
    <row r="1839" spans="1:4" x14ac:dyDescent="0.3">
      <c r="A1839" t="s">
        <v>1180</v>
      </c>
      <c r="B1839">
        <v>100696</v>
      </c>
      <c r="C1839" t="s">
        <v>237</v>
      </c>
      <c r="D1839" t="s">
        <v>237</v>
      </c>
    </row>
    <row r="1840" spans="1:4" x14ac:dyDescent="0.3">
      <c r="A1840" t="s">
        <v>1180</v>
      </c>
      <c r="B1840">
        <v>100696</v>
      </c>
      <c r="C1840" t="s">
        <v>239</v>
      </c>
      <c r="D1840" t="s">
        <v>239</v>
      </c>
    </row>
    <row r="1841" spans="1:4" x14ac:dyDescent="0.3">
      <c r="A1841" t="s">
        <v>1180</v>
      </c>
      <c r="B1841">
        <v>100696</v>
      </c>
      <c r="C1841" t="s">
        <v>241</v>
      </c>
      <c r="D1841" t="s">
        <v>241</v>
      </c>
    </row>
    <row r="1842" spans="1:4" x14ac:dyDescent="0.3">
      <c r="A1842" t="s">
        <v>1180</v>
      </c>
      <c r="B1842">
        <v>100696</v>
      </c>
      <c r="C1842" t="s">
        <v>243</v>
      </c>
      <c r="D1842" t="s">
        <v>243</v>
      </c>
    </row>
    <row r="1843" spans="1:4" x14ac:dyDescent="0.3">
      <c r="A1843" t="s">
        <v>1180</v>
      </c>
      <c r="B1843">
        <v>100696</v>
      </c>
      <c r="C1843" t="s">
        <v>245</v>
      </c>
      <c r="D1843" t="s">
        <v>245</v>
      </c>
    </row>
    <row r="1844" spans="1:4" x14ac:dyDescent="0.3">
      <c r="A1844" t="s">
        <v>1180</v>
      </c>
      <c r="B1844">
        <v>100696</v>
      </c>
      <c r="C1844" t="s">
        <v>443</v>
      </c>
      <c r="D1844" t="s">
        <v>443</v>
      </c>
    </row>
    <row r="1845" spans="1:4" x14ac:dyDescent="0.3">
      <c r="A1845" t="s">
        <v>1181</v>
      </c>
      <c r="B1845">
        <v>100697</v>
      </c>
      <c r="C1845" t="s">
        <v>237</v>
      </c>
      <c r="D1845" t="s">
        <v>237</v>
      </c>
    </row>
    <row r="1846" spans="1:4" x14ac:dyDescent="0.3">
      <c r="A1846" t="s">
        <v>1181</v>
      </c>
      <c r="B1846">
        <v>100697</v>
      </c>
      <c r="C1846" t="s">
        <v>239</v>
      </c>
      <c r="D1846" t="s">
        <v>239</v>
      </c>
    </row>
    <row r="1847" spans="1:4" x14ac:dyDescent="0.3">
      <c r="A1847" t="s">
        <v>1181</v>
      </c>
      <c r="B1847">
        <v>100697</v>
      </c>
      <c r="C1847" t="s">
        <v>241</v>
      </c>
      <c r="D1847" t="s">
        <v>241</v>
      </c>
    </row>
    <row r="1848" spans="1:4" x14ac:dyDescent="0.3">
      <c r="A1848" t="s">
        <v>1181</v>
      </c>
      <c r="B1848">
        <v>100697</v>
      </c>
      <c r="C1848" t="s">
        <v>243</v>
      </c>
      <c r="D1848" t="s">
        <v>243</v>
      </c>
    </row>
    <row r="1849" spans="1:4" x14ac:dyDescent="0.3">
      <c r="A1849" t="s">
        <v>1181</v>
      </c>
      <c r="B1849">
        <v>100697</v>
      </c>
      <c r="C1849" t="s">
        <v>245</v>
      </c>
      <c r="D1849" t="s">
        <v>245</v>
      </c>
    </row>
    <row r="1850" spans="1:4" x14ac:dyDescent="0.3">
      <c r="A1850" t="s">
        <v>1181</v>
      </c>
      <c r="B1850">
        <v>100697</v>
      </c>
      <c r="C1850" t="s">
        <v>443</v>
      </c>
      <c r="D1850" t="s">
        <v>443</v>
      </c>
    </row>
    <row r="1851" spans="1:4" x14ac:dyDescent="0.3">
      <c r="A1851" t="s">
        <v>1182</v>
      </c>
      <c r="B1851">
        <v>100698</v>
      </c>
      <c r="C1851" t="s">
        <v>237</v>
      </c>
      <c r="D1851" t="s">
        <v>237</v>
      </c>
    </row>
    <row r="1852" spans="1:4" x14ac:dyDescent="0.3">
      <c r="A1852" t="s">
        <v>1182</v>
      </c>
      <c r="B1852">
        <v>100698</v>
      </c>
      <c r="C1852" t="s">
        <v>239</v>
      </c>
      <c r="D1852" t="s">
        <v>239</v>
      </c>
    </row>
    <row r="1853" spans="1:4" x14ac:dyDescent="0.3">
      <c r="A1853" t="s">
        <v>1182</v>
      </c>
      <c r="B1853">
        <v>100698</v>
      </c>
      <c r="C1853" t="s">
        <v>241</v>
      </c>
      <c r="D1853" t="s">
        <v>241</v>
      </c>
    </row>
    <row r="1854" spans="1:4" x14ac:dyDescent="0.3">
      <c r="A1854" t="s">
        <v>1182</v>
      </c>
      <c r="B1854">
        <v>100698</v>
      </c>
      <c r="C1854" t="s">
        <v>243</v>
      </c>
      <c r="D1854" t="s">
        <v>243</v>
      </c>
    </row>
    <row r="1855" spans="1:4" x14ac:dyDescent="0.3">
      <c r="A1855" t="s">
        <v>1182</v>
      </c>
      <c r="B1855">
        <v>100698</v>
      </c>
      <c r="C1855" t="s">
        <v>245</v>
      </c>
      <c r="D1855" t="s">
        <v>245</v>
      </c>
    </row>
    <row r="1856" spans="1:4" x14ac:dyDescent="0.3">
      <c r="A1856" t="s">
        <v>1182</v>
      </c>
      <c r="B1856">
        <v>100698</v>
      </c>
      <c r="C1856" t="s">
        <v>443</v>
      </c>
      <c r="D1856" t="s">
        <v>443</v>
      </c>
    </row>
    <row r="1857" spans="1:4" x14ac:dyDescent="0.3">
      <c r="A1857" t="s">
        <v>1183</v>
      </c>
      <c r="B1857">
        <v>100699</v>
      </c>
      <c r="C1857" t="s">
        <v>237</v>
      </c>
      <c r="D1857" t="s">
        <v>237</v>
      </c>
    </row>
    <row r="1858" spans="1:4" x14ac:dyDescent="0.3">
      <c r="A1858" t="s">
        <v>1183</v>
      </c>
      <c r="B1858">
        <v>100699</v>
      </c>
      <c r="C1858" t="s">
        <v>239</v>
      </c>
      <c r="D1858" t="s">
        <v>239</v>
      </c>
    </row>
    <row r="1859" spans="1:4" x14ac:dyDescent="0.3">
      <c r="A1859" t="s">
        <v>1183</v>
      </c>
      <c r="B1859">
        <v>100699</v>
      </c>
      <c r="C1859" t="s">
        <v>241</v>
      </c>
      <c r="D1859" t="s">
        <v>241</v>
      </c>
    </row>
    <row r="1860" spans="1:4" x14ac:dyDescent="0.3">
      <c r="A1860" t="s">
        <v>1183</v>
      </c>
      <c r="B1860">
        <v>100699</v>
      </c>
      <c r="C1860" t="s">
        <v>243</v>
      </c>
      <c r="D1860" t="s">
        <v>243</v>
      </c>
    </row>
    <row r="1861" spans="1:4" x14ac:dyDescent="0.3">
      <c r="A1861" t="s">
        <v>1183</v>
      </c>
      <c r="B1861">
        <v>100699</v>
      </c>
      <c r="C1861" t="s">
        <v>245</v>
      </c>
      <c r="D1861" t="s">
        <v>245</v>
      </c>
    </row>
    <row r="1862" spans="1:4" x14ac:dyDescent="0.3">
      <c r="A1862" t="s">
        <v>1183</v>
      </c>
      <c r="B1862">
        <v>100699</v>
      </c>
      <c r="C1862" t="s">
        <v>443</v>
      </c>
      <c r="D1862" t="s">
        <v>443</v>
      </c>
    </row>
    <row r="1863" spans="1:4" x14ac:dyDescent="0.3">
      <c r="A1863" t="s">
        <v>1184</v>
      </c>
      <c r="B1863">
        <v>100700</v>
      </c>
      <c r="C1863" t="s">
        <v>237</v>
      </c>
      <c r="D1863" t="s">
        <v>237</v>
      </c>
    </row>
    <row r="1864" spans="1:4" x14ac:dyDescent="0.3">
      <c r="A1864" t="s">
        <v>1184</v>
      </c>
      <c r="B1864">
        <v>100700</v>
      </c>
      <c r="C1864" t="s">
        <v>239</v>
      </c>
      <c r="D1864" t="s">
        <v>239</v>
      </c>
    </row>
    <row r="1865" spans="1:4" x14ac:dyDescent="0.3">
      <c r="A1865" t="s">
        <v>1184</v>
      </c>
      <c r="B1865">
        <v>100700</v>
      </c>
      <c r="C1865" t="s">
        <v>241</v>
      </c>
      <c r="D1865" t="s">
        <v>241</v>
      </c>
    </row>
    <row r="1866" spans="1:4" x14ac:dyDescent="0.3">
      <c r="A1866" t="s">
        <v>1184</v>
      </c>
      <c r="B1866">
        <v>100700</v>
      </c>
      <c r="C1866" t="s">
        <v>243</v>
      </c>
      <c r="D1866" t="s">
        <v>243</v>
      </c>
    </row>
    <row r="1867" spans="1:4" x14ac:dyDescent="0.3">
      <c r="A1867" t="s">
        <v>1184</v>
      </c>
      <c r="B1867">
        <v>100700</v>
      </c>
      <c r="C1867" t="s">
        <v>245</v>
      </c>
      <c r="D1867" t="s">
        <v>245</v>
      </c>
    </row>
    <row r="1868" spans="1:4" x14ac:dyDescent="0.3">
      <c r="A1868" t="s">
        <v>1184</v>
      </c>
      <c r="B1868">
        <v>100700</v>
      </c>
      <c r="C1868" t="s">
        <v>443</v>
      </c>
      <c r="D1868" t="s">
        <v>443</v>
      </c>
    </row>
    <row r="1869" spans="1:4" x14ac:dyDescent="0.3">
      <c r="A1869" t="s">
        <v>1185</v>
      </c>
      <c r="B1869">
        <v>100701</v>
      </c>
      <c r="C1869" t="s">
        <v>237</v>
      </c>
      <c r="D1869" t="s">
        <v>237</v>
      </c>
    </row>
    <row r="1870" spans="1:4" x14ac:dyDescent="0.3">
      <c r="A1870" t="s">
        <v>1185</v>
      </c>
      <c r="B1870">
        <v>100701</v>
      </c>
      <c r="C1870" t="s">
        <v>239</v>
      </c>
      <c r="D1870" t="s">
        <v>239</v>
      </c>
    </row>
    <row r="1871" spans="1:4" x14ac:dyDescent="0.3">
      <c r="A1871" t="s">
        <v>1185</v>
      </c>
      <c r="B1871">
        <v>100701</v>
      </c>
      <c r="C1871" t="s">
        <v>241</v>
      </c>
      <c r="D1871" t="s">
        <v>241</v>
      </c>
    </row>
    <row r="1872" spans="1:4" x14ac:dyDescent="0.3">
      <c r="A1872" t="s">
        <v>1185</v>
      </c>
      <c r="B1872">
        <v>100701</v>
      </c>
      <c r="C1872" t="s">
        <v>243</v>
      </c>
      <c r="D1872" t="s">
        <v>243</v>
      </c>
    </row>
    <row r="1873" spans="1:4" x14ac:dyDescent="0.3">
      <c r="A1873" t="s">
        <v>1185</v>
      </c>
      <c r="B1873">
        <v>100701</v>
      </c>
      <c r="C1873" t="s">
        <v>245</v>
      </c>
      <c r="D1873" t="s">
        <v>245</v>
      </c>
    </row>
    <row r="1874" spans="1:4" x14ac:dyDescent="0.3">
      <c r="A1874" t="s">
        <v>1185</v>
      </c>
      <c r="B1874">
        <v>100701</v>
      </c>
      <c r="C1874" t="s">
        <v>443</v>
      </c>
      <c r="D1874" t="s">
        <v>443</v>
      </c>
    </row>
    <row r="1875" spans="1:4" x14ac:dyDescent="0.3">
      <c r="A1875" t="s">
        <v>1186</v>
      </c>
      <c r="B1875">
        <v>100702</v>
      </c>
      <c r="C1875" t="s">
        <v>237</v>
      </c>
      <c r="D1875" t="s">
        <v>237</v>
      </c>
    </row>
    <row r="1876" spans="1:4" x14ac:dyDescent="0.3">
      <c r="A1876" t="s">
        <v>1186</v>
      </c>
      <c r="B1876">
        <v>100702</v>
      </c>
      <c r="C1876" t="s">
        <v>239</v>
      </c>
      <c r="D1876" t="s">
        <v>239</v>
      </c>
    </row>
    <row r="1877" spans="1:4" x14ac:dyDescent="0.3">
      <c r="A1877" t="s">
        <v>1186</v>
      </c>
      <c r="B1877">
        <v>100702</v>
      </c>
      <c r="C1877" t="s">
        <v>241</v>
      </c>
      <c r="D1877" t="s">
        <v>241</v>
      </c>
    </row>
    <row r="1878" spans="1:4" x14ac:dyDescent="0.3">
      <c r="A1878" t="s">
        <v>1186</v>
      </c>
      <c r="B1878">
        <v>100702</v>
      </c>
      <c r="C1878" t="s">
        <v>243</v>
      </c>
      <c r="D1878" t="s">
        <v>243</v>
      </c>
    </row>
    <row r="1879" spans="1:4" x14ac:dyDescent="0.3">
      <c r="A1879" t="s">
        <v>1186</v>
      </c>
      <c r="B1879">
        <v>100702</v>
      </c>
      <c r="C1879" t="s">
        <v>245</v>
      </c>
      <c r="D1879" t="s">
        <v>245</v>
      </c>
    </row>
    <row r="1880" spans="1:4" x14ac:dyDescent="0.3">
      <c r="A1880" t="s">
        <v>1186</v>
      </c>
      <c r="B1880">
        <v>100702</v>
      </c>
      <c r="C1880" t="s">
        <v>443</v>
      </c>
      <c r="D1880" t="s">
        <v>443</v>
      </c>
    </row>
    <row r="1881" spans="1:4" x14ac:dyDescent="0.3">
      <c r="A1881" t="s">
        <v>1187</v>
      </c>
      <c r="B1881">
        <v>100703</v>
      </c>
      <c r="C1881" t="s">
        <v>237</v>
      </c>
      <c r="D1881" t="s">
        <v>237</v>
      </c>
    </row>
    <row r="1882" spans="1:4" x14ac:dyDescent="0.3">
      <c r="A1882" t="s">
        <v>1187</v>
      </c>
      <c r="B1882">
        <v>100703</v>
      </c>
      <c r="C1882" t="s">
        <v>239</v>
      </c>
      <c r="D1882" t="s">
        <v>239</v>
      </c>
    </row>
    <row r="1883" spans="1:4" x14ac:dyDescent="0.3">
      <c r="A1883" t="s">
        <v>1187</v>
      </c>
      <c r="B1883">
        <v>100703</v>
      </c>
      <c r="C1883" t="s">
        <v>241</v>
      </c>
      <c r="D1883" t="s">
        <v>241</v>
      </c>
    </row>
    <row r="1884" spans="1:4" x14ac:dyDescent="0.3">
      <c r="A1884" t="s">
        <v>1187</v>
      </c>
      <c r="B1884">
        <v>100703</v>
      </c>
      <c r="C1884" t="s">
        <v>243</v>
      </c>
      <c r="D1884" t="s">
        <v>243</v>
      </c>
    </row>
    <row r="1885" spans="1:4" x14ac:dyDescent="0.3">
      <c r="A1885" t="s">
        <v>1187</v>
      </c>
      <c r="B1885">
        <v>100703</v>
      </c>
      <c r="C1885" t="s">
        <v>245</v>
      </c>
      <c r="D1885" t="s">
        <v>245</v>
      </c>
    </row>
    <row r="1886" spans="1:4" x14ac:dyDescent="0.3">
      <c r="A1886" t="s">
        <v>1187</v>
      </c>
      <c r="B1886">
        <v>100703</v>
      </c>
      <c r="C1886" t="s">
        <v>443</v>
      </c>
      <c r="D1886" t="s">
        <v>443</v>
      </c>
    </row>
    <row r="1887" spans="1:4" x14ac:dyDescent="0.3">
      <c r="A1887" t="s">
        <v>1188</v>
      </c>
      <c r="B1887">
        <v>100704</v>
      </c>
      <c r="C1887" t="s">
        <v>237</v>
      </c>
      <c r="D1887" t="s">
        <v>237</v>
      </c>
    </row>
    <row r="1888" spans="1:4" x14ac:dyDescent="0.3">
      <c r="A1888" t="s">
        <v>1188</v>
      </c>
      <c r="B1888">
        <v>100704</v>
      </c>
      <c r="C1888" t="s">
        <v>239</v>
      </c>
      <c r="D1888" t="s">
        <v>239</v>
      </c>
    </row>
    <row r="1889" spans="1:4" x14ac:dyDescent="0.3">
      <c r="A1889" t="s">
        <v>1188</v>
      </c>
      <c r="B1889">
        <v>100704</v>
      </c>
      <c r="C1889" t="s">
        <v>241</v>
      </c>
      <c r="D1889" t="s">
        <v>241</v>
      </c>
    </row>
    <row r="1890" spans="1:4" x14ac:dyDescent="0.3">
      <c r="A1890" t="s">
        <v>1188</v>
      </c>
      <c r="B1890">
        <v>100704</v>
      </c>
      <c r="C1890" t="s">
        <v>243</v>
      </c>
      <c r="D1890" t="s">
        <v>243</v>
      </c>
    </row>
    <row r="1891" spans="1:4" x14ac:dyDescent="0.3">
      <c r="A1891" t="s">
        <v>1188</v>
      </c>
      <c r="B1891">
        <v>100704</v>
      </c>
      <c r="C1891" t="s">
        <v>245</v>
      </c>
      <c r="D1891" t="s">
        <v>245</v>
      </c>
    </row>
    <row r="1892" spans="1:4" x14ac:dyDescent="0.3">
      <c r="A1892" t="s">
        <v>1188</v>
      </c>
      <c r="B1892">
        <v>100704</v>
      </c>
      <c r="C1892" t="s">
        <v>443</v>
      </c>
      <c r="D1892" t="s">
        <v>443</v>
      </c>
    </row>
    <row r="1893" spans="1:4" x14ac:dyDescent="0.3">
      <c r="A1893" t="s">
        <v>1189</v>
      </c>
      <c r="B1893">
        <v>100705</v>
      </c>
      <c r="C1893" t="s">
        <v>237</v>
      </c>
      <c r="D1893" t="s">
        <v>237</v>
      </c>
    </row>
    <row r="1894" spans="1:4" x14ac:dyDescent="0.3">
      <c r="A1894" t="s">
        <v>1189</v>
      </c>
      <c r="B1894">
        <v>100705</v>
      </c>
      <c r="C1894" t="s">
        <v>239</v>
      </c>
      <c r="D1894" t="s">
        <v>239</v>
      </c>
    </row>
    <row r="1895" spans="1:4" x14ac:dyDescent="0.3">
      <c r="A1895" t="s">
        <v>1189</v>
      </c>
      <c r="B1895">
        <v>100705</v>
      </c>
      <c r="C1895" t="s">
        <v>241</v>
      </c>
      <c r="D1895" t="s">
        <v>241</v>
      </c>
    </row>
    <row r="1896" spans="1:4" x14ac:dyDescent="0.3">
      <c r="A1896" t="s">
        <v>1189</v>
      </c>
      <c r="B1896">
        <v>100705</v>
      </c>
      <c r="C1896" t="s">
        <v>243</v>
      </c>
      <c r="D1896" t="s">
        <v>243</v>
      </c>
    </row>
    <row r="1897" spans="1:4" x14ac:dyDescent="0.3">
      <c r="A1897" t="s">
        <v>1189</v>
      </c>
      <c r="B1897">
        <v>100705</v>
      </c>
      <c r="C1897" t="s">
        <v>245</v>
      </c>
      <c r="D1897" t="s">
        <v>245</v>
      </c>
    </row>
    <row r="1898" spans="1:4" x14ac:dyDescent="0.3">
      <c r="A1898" t="s">
        <v>1189</v>
      </c>
      <c r="B1898">
        <v>100705</v>
      </c>
      <c r="C1898" t="s">
        <v>443</v>
      </c>
      <c r="D1898" t="s">
        <v>443</v>
      </c>
    </row>
    <row r="1899" spans="1:4" x14ac:dyDescent="0.3">
      <c r="A1899" t="s">
        <v>1190</v>
      </c>
      <c r="B1899">
        <v>100706</v>
      </c>
      <c r="C1899" t="s">
        <v>237</v>
      </c>
      <c r="D1899" t="s">
        <v>237</v>
      </c>
    </row>
    <row r="1900" spans="1:4" x14ac:dyDescent="0.3">
      <c r="A1900" t="s">
        <v>1190</v>
      </c>
      <c r="B1900">
        <v>100706</v>
      </c>
      <c r="C1900" t="s">
        <v>239</v>
      </c>
      <c r="D1900" t="s">
        <v>239</v>
      </c>
    </row>
    <row r="1901" spans="1:4" x14ac:dyDescent="0.3">
      <c r="A1901" t="s">
        <v>1190</v>
      </c>
      <c r="B1901">
        <v>100706</v>
      </c>
      <c r="C1901" t="s">
        <v>241</v>
      </c>
      <c r="D1901" t="s">
        <v>241</v>
      </c>
    </row>
    <row r="1902" spans="1:4" x14ac:dyDescent="0.3">
      <c r="A1902" t="s">
        <v>1190</v>
      </c>
      <c r="B1902">
        <v>100706</v>
      </c>
      <c r="C1902" t="s">
        <v>243</v>
      </c>
      <c r="D1902" t="s">
        <v>243</v>
      </c>
    </row>
    <row r="1903" spans="1:4" x14ac:dyDescent="0.3">
      <c r="A1903" t="s">
        <v>1190</v>
      </c>
      <c r="B1903">
        <v>100706</v>
      </c>
      <c r="C1903" t="s">
        <v>245</v>
      </c>
      <c r="D1903" t="s">
        <v>245</v>
      </c>
    </row>
    <row r="1904" spans="1:4" x14ac:dyDescent="0.3">
      <c r="A1904" t="s">
        <v>1190</v>
      </c>
      <c r="B1904">
        <v>100706</v>
      </c>
      <c r="C1904" t="s">
        <v>443</v>
      </c>
      <c r="D1904" t="s">
        <v>443</v>
      </c>
    </row>
    <row r="1905" spans="1:4" x14ac:dyDescent="0.3">
      <c r="A1905" t="s">
        <v>1191</v>
      </c>
      <c r="B1905">
        <v>100707</v>
      </c>
      <c r="C1905" t="s">
        <v>237</v>
      </c>
      <c r="D1905" t="s">
        <v>237</v>
      </c>
    </row>
    <row r="1906" spans="1:4" x14ac:dyDescent="0.3">
      <c r="A1906" t="s">
        <v>1191</v>
      </c>
      <c r="B1906">
        <v>100707</v>
      </c>
      <c r="C1906" t="s">
        <v>239</v>
      </c>
      <c r="D1906" t="s">
        <v>239</v>
      </c>
    </row>
    <row r="1907" spans="1:4" x14ac:dyDescent="0.3">
      <c r="A1907" t="s">
        <v>1191</v>
      </c>
      <c r="B1907">
        <v>100707</v>
      </c>
      <c r="C1907" t="s">
        <v>241</v>
      </c>
      <c r="D1907" t="s">
        <v>241</v>
      </c>
    </row>
    <row r="1908" spans="1:4" x14ac:dyDescent="0.3">
      <c r="A1908" t="s">
        <v>1191</v>
      </c>
      <c r="B1908">
        <v>100707</v>
      </c>
      <c r="C1908" t="s">
        <v>243</v>
      </c>
      <c r="D1908" t="s">
        <v>243</v>
      </c>
    </row>
    <row r="1909" spans="1:4" x14ac:dyDescent="0.3">
      <c r="A1909" t="s">
        <v>1191</v>
      </c>
      <c r="B1909">
        <v>100707</v>
      </c>
      <c r="C1909" t="s">
        <v>245</v>
      </c>
      <c r="D1909" t="s">
        <v>245</v>
      </c>
    </row>
    <row r="1910" spans="1:4" x14ac:dyDescent="0.3">
      <c r="A1910" t="s">
        <v>1191</v>
      </c>
      <c r="B1910">
        <v>100707</v>
      </c>
      <c r="C1910" t="s">
        <v>443</v>
      </c>
      <c r="D1910" t="s">
        <v>443</v>
      </c>
    </row>
    <row r="1911" spans="1:4" x14ac:dyDescent="0.3">
      <c r="A1911" t="s">
        <v>1192</v>
      </c>
      <c r="B1911">
        <v>100708</v>
      </c>
      <c r="C1911" t="s">
        <v>237</v>
      </c>
      <c r="D1911" t="s">
        <v>237</v>
      </c>
    </row>
    <row r="1912" spans="1:4" x14ac:dyDescent="0.3">
      <c r="A1912" t="s">
        <v>1192</v>
      </c>
      <c r="B1912">
        <v>100708</v>
      </c>
      <c r="C1912" t="s">
        <v>239</v>
      </c>
      <c r="D1912" t="s">
        <v>239</v>
      </c>
    </row>
    <row r="1913" spans="1:4" x14ac:dyDescent="0.3">
      <c r="A1913" t="s">
        <v>1192</v>
      </c>
      <c r="B1913">
        <v>100708</v>
      </c>
      <c r="C1913" t="s">
        <v>241</v>
      </c>
      <c r="D1913" t="s">
        <v>241</v>
      </c>
    </row>
    <row r="1914" spans="1:4" x14ac:dyDescent="0.3">
      <c r="A1914" t="s">
        <v>1192</v>
      </c>
      <c r="B1914">
        <v>100708</v>
      </c>
      <c r="C1914" t="s">
        <v>243</v>
      </c>
      <c r="D1914" t="s">
        <v>243</v>
      </c>
    </row>
    <row r="1915" spans="1:4" x14ac:dyDescent="0.3">
      <c r="A1915" t="s">
        <v>1192</v>
      </c>
      <c r="B1915">
        <v>100708</v>
      </c>
      <c r="C1915" t="s">
        <v>245</v>
      </c>
      <c r="D1915" t="s">
        <v>245</v>
      </c>
    </row>
    <row r="1916" spans="1:4" x14ac:dyDescent="0.3">
      <c r="A1916" t="s">
        <v>1192</v>
      </c>
      <c r="B1916">
        <v>100708</v>
      </c>
      <c r="C1916" t="s">
        <v>443</v>
      </c>
      <c r="D1916" t="s">
        <v>443</v>
      </c>
    </row>
    <row r="1917" spans="1:4" x14ac:dyDescent="0.3">
      <c r="A1917" t="s">
        <v>1193</v>
      </c>
      <c r="B1917">
        <v>100709</v>
      </c>
      <c r="C1917" t="s">
        <v>237</v>
      </c>
      <c r="D1917" t="s">
        <v>237</v>
      </c>
    </row>
    <row r="1918" spans="1:4" x14ac:dyDescent="0.3">
      <c r="A1918" t="s">
        <v>1193</v>
      </c>
      <c r="B1918">
        <v>100709</v>
      </c>
      <c r="C1918" t="s">
        <v>239</v>
      </c>
      <c r="D1918" t="s">
        <v>239</v>
      </c>
    </row>
    <row r="1919" spans="1:4" x14ac:dyDescent="0.3">
      <c r="A1919" t="s">
        <v>1193</v>
      </c>
      <c r="B1919">
        <v>100709</v>
      </c>
      <c r="C1919" t="s">
        <v>241</v>
      </c>
      <c r="D1919" t="s">
        <v>241</v>
      </c>
    </row>
    <row r="1920" spans="1:4" x14ac:dyDescent="0.3">
      <c r="A1920" t="s">
        <v>1193</v>
      </c>
      <c r="B1920">
        <v>100709</v>
      </c>
      <c r="C1920" t="s">
        <v>243</v>
      </c>
      <c r="D1920" t="s">
        <v>243</v>
      </c>
    </row>
    <row r="1921" spans="1:4" x14ac:dyDescent="0.3">
      <c r="A1921" t="s">
        <v>1193</v>
      </c>
      <c r="B1921">
        <v>100709</v>
      </c>
      <c r="C1921" t="s">
        <v>245</v>
      </c>
      <c r="D1921" t="s">
        <v>245</v>
      </c>
    </row>
    <row r="1922" spans="1:4" x14ac:dyDescent="0.3">
      <c r="A1922" t="s">
        <v>1193</v>
      </c>
      <c r="B1922">
        <v>100709</v>
      </c>
      <c r="C1922" t="s">
        <v>443</v>
      </c>
      <c r="D1922" t="s">
        <v>443</v>
      </c>
    </row>
    <row r="1923" spans="1:4" x14ac:dyDescent="0.3">
      <c r="A1923" t="s">
        <v>1194</v>
      </c>
      <c r="B1923">
        <v>100710</v>
      </c>
      <c r="C1923" t="s">
        <v>237</v>
      </c>
      <c r="D1923" t="s">
        <v>237</v>
      </c>
    </row>
    <row r="1924" spans="1:4" x14ac:dyDescent="0.3">
      <c r="A1924" t="s">
        <v>1194</v>
      </c>
      <c r="B1924">
        <v>100710</v>
      </c>
      <c r="C1924" t="s">
        <v>239</v>
      </c>
      <c r="D1924" t="s">
        <v>239</v>
      </c>
    </row>
    <row r="1925" spans="1:4" x14ac:dyDescent="0.3">
      <c r="A1925" t="s">
        <v>1194</v>
      </c>
      <c r="B1925">
        <v>100710</v>
      </c>
      <c r="C1925" t="s">
        <v>241</v>
      </c>
      <c r="D1925" t="s">
        <v>241</v>
      </c>
    </row>
    <row r="1926" spans="1:4" x14ac:dyDescent="0.3">
      <c r="A1926" t="s">
        <v>1194</v>
      </c>
      <c r="B1926">
        <v>100710</v>
      </c>
      <c r="C1926" t="s">
        <v>243</v>
      </c>
      <c r="D1926" t="s">
        <v>243</v>
      </c>
    </row>
    <row r="1927" spans="1:4" x14ac:dyDescent="0.3">
      <c r="A1927" t="s">
        <v>1194</v>
      </c>
      <c r="B1927">
        <v>100710</v>
      </c>
      <c r="C1927" t="s">
        <v>245</v>
      </c>
      <c r="D1927" t="s">
        <v>245</v>
      </c>
    </row>
    <row r="1928" spans="1:4" x14ac:dyDescent="0.3">
      <c r="A1928" t="s">
        <v>1194</v>
      </c>
      <c r="B1928">
        <v>100710</v>
      </c>
      <c r="C1928" t="s">
        <v>443</v>
      </c>
      <c r="D1928" t="s">
        <v>443</v>
      </c>
    </row>
    <row r="1929" spans="1:4" x14ac:dyDescent="0.3">
      <c r="A1929" t="s">
        <v>1195</v>
      </c>
      <c r="B1929">
        <v>100711</v>
      </c>
      <c r="C1929" t="s">
        <v>237</v>
      </c>
      <c r="D1929" t="s">
        <v>237</v>
      </c>
    </row>
    <row r="1930" spans="1:4" x14ac:dyDescent="0.3">
      <c r="A1930" t="s">
        <v>1195</v>
      </c>
      <c r="B1930">
        <v>100711</v>
      </c>
      <c r="C1930" t="s">
        <v>239</v>
      </c>
      <c r="D1930" t="s">
        <v>239</v>
      </c>
    </row>
    <row r="1931" spans="1:4" x14ac:dyDescent="0.3">
      <c r="A1931" t="s">
        <v>1195</v>
      </c>
      <c r="B1931">
        <v>100711</v>
      </c>
      <c r="C1931" t="s">
        <v>241</v>
      </c>
      <c r="D1931" t="s">
        <v>241</v>
      </c>
    </row>
    <row r="1932" spans="1:4" x14ac:dyDescent="0.3">
      <c r="A1932" t="s">
        <v>1195</v>
      </c>
      <c r="B1932">
        <v>100711</v>
      </c>
      <c r="C1932" t="s">
        <v>243</v>
      </c>
      <c r="D1932" t="s">
        <v>243</v>
      </c>
    </row>
    <row r="1933" spans="1:4" x14ac:dyDescent="0.3">
      <c r="A1933" t="s">
        <v>1195</v>
      </c>
      <c r="B1933">
        <v>100711</v>
      </c>
      <c r="C1933" t="s">
        <v>245</v>
      </c>
      <c r="D1933" t="s">
        <v>245</v>
      </c>
    </row>
    <row r="1934" spans="1:4" x14ac:dyDescent="0.3">
      <c r="A1934" t="s">
        <v>1195</v>
      </c>
      <c r="B1934">
        <v>100711</v>
      </c>
      <c r="C1934" t="s">
        <v>443</v>
      </c>
      <c r="D1934" t="s">
        <v>443</v>
      </c>
    </row>
    <row r="1935" spans="1:4" x14ac:dyDescent="0.3">
      <c r="A1935" t="s">
        <v>1196</v>
      </c>
      <c r="B1935">
        <v>100712</v>
      </c>
      <c r="C1935" t="s">
        <v>237</v>
      </c>
      <c r="D1935" t="s">
        <v>237</v>
      </c>
    </row>
    <row r="1936" spans="1:4" x14ac:dyDescent="0.3">
      <c r="A1936" t="s">
        <v>1196</v>
      </c>
      <c r="B1936">
        <v>100712</v>
      </c>
      <c r="C1936" t="s">
        <v>239</v>
      </c>
      <c r="D1936" t="s">
        <v>239</v>
      </c>
    </row>
    <row r="1937" spans="1:4" x14ac:dyDescent="0.3">
      <c r="A1937" t="s">
        <v>1196</v>
      </c>
      <c r="B1937">
        <v>100712</v>
      </c>
      <c r="C1937" t="s">
        <v>241</v>
      </c>
      <c r="D1937" t="s">
        <v>241</v>
      </c>
    </row>
    <row r="1938" spans="1:4" x14ac:dyDescent="0.3">
      <c r="A1938" t="s">
        <v>1196</v>
      </c>
      <c r="B1938">
        <v>100712</v>
      </c>
      <c r="C1938" t="s">
        <v>243</v>
      </c>
      <c r="D1938" t="s">
        <v>243</v>
      </c>
    </row>
    <row r="1939" spans="1:4" x14ac:dyDescent="0.3">
      <c r="A1939" t="s">
        <v>1196</v>
      </c>
      <c r="B1939">
        <v>100712</v>
      </c>
      <c r="C1939" t="s">
        <v>245</v>
      </c>
      <c r="D1939" t="s">
        <v>245</v>
      </c>
    </row>
    <row r="1940" spans="1:4" x14ac:dyDescent="0.3">
      <c r="A1940" t="s">
        <v>1196</v>
      </c>
      <c r="B1940">
        <v>100712</v>
      </c>
      <c r="C1940" t="s">
        <v>443</v>
      </c>
      <c r="D1940" t="s">
        <v>443</v>
      </c>
    </row>
    <row r="1941" spans="1:4" x14ac:dyDescent="0.3">
      <c r="A1941" t="s">
        <v>1197</v>
      </c>
      <c r="B1941">
        <v>100713</v>
      </c>
      <c r="C1941" t="s">
        <v>237</v>
      </c>
      <c r="D1941" t="s">
        <v>237</v>
      </c>
    </row>
    <row r="1942" spans="1:4" x14ac:dyDescent="0.3">
      <c r="A1942" t="s">
        <v>1197</v>
      </c>
      <c r="B1942">
        <v>100713</v>
      </c>
      <c r="C1942" t="s">
        <v>239</v>
      </c>
      <c r="D1942" t="s">
        <v>239</v>
      </c>
    </row>
    <row r="1943" spans="1:4" x14ac:dyDescent="0.3">
      <c r="A1943" t="s">
        <v>1197</v>
      </c>
      <c r="B1943">
        <v>100713</v>
      </c>
      <c r="C1943" t="s">
        <v>241</v>
      </c>
      <c r="D1943" t="s">
        <v>241</v>
      </c>
    </row>
    <row r="1944" spans="1:4" x14ac:dyDescent="0.3">
      <c r="A1944" t="s">
        <v>1197</v>
      </c>
      <c r="B1944">
        <v>100713</v>
      </c>
      <c r="C1944" t="s">
        <v>243</v>
      </c>
      <c r="D1944" t="s">
        <v>243</v>
      </c>
    </row>
    <row r="1945" spans="1:4" x14ac:dyDescent="0.3">
      <c r="A1945" t="s">
        <v>1197</v>
      </c>
      <c r="B1945">
        <v>100713</v>
      </c>
      <c r="C1945" t="s">
        <v>245</v>
      </c>
      <c r="D1945" t="s">
        <v>245</v>
      </c>
    </row>
    <row r="1946" spans="1:4" x14ac:dyDescent="0.3">
      <c r="A1946" t="s">
        <v>1197</v>
      </c>
      <c r="B1946">
        <v>100713</v>
      </c>
      <c r="C1946" t="s">
        <v>443</v>
      </c>
      <c r="D1946" t="s">
        <v>443</v>
      </c>
    </row>
    <row r="1947" spans="1:4" x14ac:dyDescent="0.3">
      <c r="A1947" t="s">
        <v>1198</v>
      </c>
      <c r="B1947">
        <v>100714</v>
      </c>
      <c r="C1947" t="s">
        <v>237</v>
      </c>
      <c r="D1947" t="s">
        <v>237</v>
      </c>
    </row>
    <row r="1948" spans="1:4" x14ac:dyDescent="0.3">
      <c r="A1948" t="s">
        <v>1198</v>
      </c>
      <c r="B1948">
        <v>100714</v>
      </c>
      <c r="C1948" t="s">
        <v>239</v>
      </c>
      <c r="D1948" t="s">
        <v>239</v>
      </c>
    </row>
    <row r="1949" spans="1:4" x14ac:dyDescent="0.3">
      <c r="A1949" t="s">
        <v>1198</v>
      </c>
      <c r="B1949">
        <v>100714</v>
      </c>
      <c r="C1949" t="s">
        <v>241</v>
      </c>
      <c r="D1949" t="s">
        <v>241</v>
      </c>
    </row>
    <row r="1950" spans="1:4" x14ac:dyDescent="0.3">
      <c r="A1950" t="s">
        <v>1198</v>
      </c>
      <c r="B1950">
        <v>100714</v>
      </c>
      <c r="C1950" t="s">
        <v>243</v>
      </c>
      <c r="D1950" t="s">
        <v>243</v>
      </c>
    </row>
    <row r="1951" spans="1:4" x14ac:dyDescent="0.3">
      <c r="A1951" t="s">
        <v>1198</v>
      </c>
      <c r="B1951">
        <v>100714</v>
      </c>
      <c r="C1951" t="s">
        <v>245</v>
      </c>
      <c r="D1951" t="s">
        <v>245</v>
      </c>
    </row>
    <row r="1952" spans="1:4" x14ac:dyDescent="0.3">
      <c r="A1952" t="s">
        <v>1198</v>
      </c>
      <c r="B1952">
        <v>100714</v>
      </c>
      <c r="C1952" t="s">
        <v>443</v>
      </c>
      <c r="D1952" t="s">
        <v>443</v>
      </c>
    </row>
    <row r="1953" spans="1:4" x14ac:dyDescent="0.3">
      <c r="A1953" t="s">
        <v>1199</v>
      </c>
      <c r="B1953">
        <v>100715</v>
      </c>
      <c r="C1953" t="s">
        <v>237</v>
      </c>
      <c r="D1953" t="s">
        <v>237</v>
      </c>
    </row>
    <row r="1954" spans="1:4" x14ac:dyDescent="0.3">
      <c r="A1954" t="s">
        <v>1199</v>
      </c>
      <c r="B1954">
        <v>100715</v>
      </c>
      <c r="C1954" t="s">
        <v>239</v>
      </c>
      <c r="D1954" t="s">
        <v>239</v>
      </c>
    </row>
    <row r="1955" spans="1:4" x14ac:dyDescent="0.3">
      <c r="A1955" t="s">
        <v>1199</v>
      </c>
      <c r="B1955">
        <v>100715</v>
      </c>
      <c r="C1955" t="s">
        <v>241</v>
      </c>
      <c r="D1955" t="s">
        <v>241</v>
      </c>
    </row>
    <row r="1956" spans="1:4" x14ac:dyDescent="0.3">
      <c r="A1956" t="s">
        <v>1199</v>
      </c>
      <c r="B1956">
        <v>100715</v>
      </c>
      <c r="C1956" t="s">
        <v>243</v>
      </c>
      <c r="D1956" t="s">
        <v>243</v>
      </c>
    </row>
    <row r="1957" spans="1:4" x14ac:dyDescent="0.3">
      <c r="A1957" t="s">
        <v>1199</v>
      </c>
      <c r="B1957">
        <v>100715</v>
      </c>
      <c r="C1957" t="s">
        <v>245</v>
      </c>
      <c r="D1957" t="s">
        <v>245</v>
      </c>
    </row>
    <row r="1958" spans="1:4" x14ac:dyDescent="0.3">
      <c r="A1958" t="s">
        <v>1199</v>
      </c>
      <c r="B1958">
        <v>100715</v>
      </c>
      <c r="C1958" t="s">
        <v>443</v>
      </c>
      <c r="D1958" t="s">
        <v>443</v>
      </c>
    </row>
    <row r="1959" spans="1:4" x14ac:dyDescent="0.3">
      <c r="A1959" t="s">
        <v>1200</v>
      </c>
      <c r="B1959">
        <v>100716</v>
      </c>
      <c r="C1959" t="s">
        <v>237</v>
      </c>
      <c r="D1959" t="s">
        <v>237</v>
      </c>
    </row>
    <row r="1960" spans="1:4" x14ac:dyDescent="0.3">
      <c r="A1960" t="s">
        <v>1200</v>
      </c>
      <c r="B1960">
        <v>100716</v>
      </c>
      <c r="C1960" t="s">
        <v>239</v>
      </c>
      <c r="D1960" t="s">
        <v>239</v>
      </c>
    </row>
    <row r="1961" spans="1:4" x14ac:dyDescent="0.3">
      <c r="A1961" t="s">
        <v>1200</v>
      </c>
      <c r="B1961">
        <v>100716</v>
      </c>
      <c r="C1961" t="s">
        <v>241</v>
      </c>
      <c r="D1961" t="s">
        <v>241</v>
      </c>
    </row>
    <row r="1962" spans="1:4" x14ac:dyDescent="0.3">
      <c r="A1962" t="s">
        <v>1200</v>
      </c>
      <c r="B1962">
        <v>100716</v>
      </c>
      <c r="C1962" t="s">
        <v>243</v>
      </c>
      <c r="D1962" t="s">
        <v>243</v>
      </c>
    </row>
    <row r="1963" spans="1:4" x14ac:dyDescent="0.3">
      <c r="A1963" t="s">
        <v>1200</v>
      </c>
      <c r="B1963">
        <v>100716</v>
      </c>
      <c r="C1963" t="s">
        <v>245</v>
      </c>
      <c r="D1963" t="s">
        <v>245</v>
      </c>
    </row>
    <row r="1964" spans="1:4" x14ac:dyDescent="0.3">
      <c r="A1964" t="s">
        <v>1200</v>
      </c>
      <c r="B1964">
        <v>100716</v>
      </c>
      <c r="C1964" t="s">
        <v>443</v>
      </c>
      <c r="D1964" t="s">
        <v>443</v>
      </c>
    </row>
    <row r="1965" spans="1:4" x14ac:dyDescent="0.3">
      <c r="A1965" t="s">
        <v>1201</v>
      </c>
      <c r="B1965">
        <v>100717</v>
      </c>
      <c r="C1965" t="s">
        <v>237</v>
      </c>
      <c r="D1965" t="s">
        <v>237</v>
      </c>
    </row>
    <row r="1966" spans="1:4" x14ac:dyDescent="0.3">
      <c r="A1966" t="s">
        <v>1201</v>
      </c>
      <c r="B1966">
        <v>100717</v>
      </c>
      <c r="C1966" t="s">
        <v>239</v>
      </c>
      <c r="D1966" t="s">
        <v>239</v>
      </c>
    </row>
    <row r="1967" spans="1:4" x14ac:dyDescent="0.3">
      <c r="A1967" t="s">
        <v>1201</v>
      </c>
      <c r="B1967">
        <v>100717</v>
      </c>
      <c r="C1967" t="s">
        <v>241</v>
      </c>
      <c r="D1967" t="s">
        <v>241</v>
      </c>
    </row>
    <row r="1968" spans="1:4" x14ac:dyDescent="0.3">
      <c r="A1968" t="s">
        <v>1201</v>
      </c>
      <c r="B1968">
        <v>100717</v>
      </c>
      <c r="C1968" t="s">
        <v>243</v>
      </c>
      <c r="D1968" t="s">
        <v>243</v>
      </c>
    </row>
    <row r="1969" spans="1:4" x14ac:dyDescent="0.3">
      <c r="A1969" t="s">
        <v>1201</v>
      </c>
      <c r="B1969">
        <v>100717</v>
      </c>
      <c r="C1969" t="s">
        <v>245</v>
      </c>
      <c r="D1969" t="s">
        <v>245</v>
      </c>
    </row>
    <row r="1970" spans="1:4" x14ac:dyDescent="0.3">
      <c r="A1970" t="s">
        <v>1201</v>
      </c>
      <c r="B1970">
        <v>100717</v>
      </c>
      <c r="C1970" t="s">
        <v>443</v>
      </c>
      <c r="D1970" t="s">
        <v>443</v>
      </c>
    </row>
    <row r="1971" spans="1:4" x14ac:dyDescent="0.3">
      <c r="A1971" t="s">
        <v>1202</v>
      </c>
      <c r="B1971">
        <v>100718</v>
      </c>
      <c r="C1971" t="s">
        <v>237</v>
      </c>
      <c r="D1971" t="s">
        <v>237</v>
      </c>
    </row>
    <row r="1972" spans="1:4" x14ac:dyDescent="0.3">
      <c r="A1972" t="s">
        <v>1202</v>
      </c>
      <c r="B1972">
        <v>100718</v>
      </c>
      <c r="C1972" t="s">
        <v>239</v>
      </c>
      <c r="D1972" t="s">
        <v>239</v>
      </c>
    </row>
    <row r="1973" spans="1:4" x14ac:dyDescent="0.3">
      <c r="A1973" t="s">
        <v>1202</v>
      </c>
      <c r="B1973">
        <v>100718</v>
      </c>
      <c r="C1973" t="s">
        <v>241</v>
      </c>
      <c r="D1973" t="s">
        <v>241</v>
      </c>
    </row>
    <row r="1974" spans="1:4" x14ac:dyDescent="0.3">
      <c r="A1974" t="s">
        <v>1202</v>
      </c>
      <c r="B1974">
        <v>100718</v>
      </c>
      <c r="C1974" t="s">
        <v>243</v>
      </c>
      <c r="D1974" t="s">
        <v>243</v>
      </c>
    </row>
    <row r="1975" spans="1:4" x14ac:dyDescent="0.3">
      <c r="A1975" t="s">
        <v>1202</v>
      </c>
      <c r="B1975">
        <v>100718</v>
      </c>
      <c r="C1975" t="s">
        <v>245</v>
      </c>
      <c r="D1975" t="s">
        <v>245</v>
      </c>
    </row>
    <row r="1976" spans="1:4" x14ac:dyDescent="0.3">
      <c r="A1976" t="s">
        <v>1202</v>
      </c>
      <c r="B1976">
        <v>100718</v>
      </c>
      <c r="C1976" t="s">
        <v>443</v>
      </c>
      <c r="D1976" t="s">
        <v>443</v>
      </c>
    </row>
    <row r="1977" spans="1:4" x14ac:dyDescent="0.3">
      <c r="A1977" t="s">
        <v>1203</v>
      </c>
      <c r="B1977">
        <v>100719</v>
      </c>
      <c r="C1977" t="s">
        <v>237</v>
      </c>
      <c r="D1977" t="s">
        <v>237</v>
      </c>
    </row>
    <row r="1978" spans="1:4" x14ac:dyDescent="0.3">
      <c r="A1978" t="s">
        <v>1203</v>
      </c>
      <c r="B1978">
        <v>100719</v>
      </c>
      <c r="C1978" t="s">
        <v>239</v>
      </c>
      <c r="D1978" t="s">
        <v>239</v>
      </c>
    </row>
    <row r="1979" spans="1:4" x14ac:dyDescent="0.3">
      <c r="A1979" t="s">
        <v>1203</v>
      </c>
      <c r="B1979">
        <v>100719</v>
      </c>
      <c r="C1979" t="s">
        <v>241</v>
      </c>
      <c r="D1979" t="s">
        <v>241</v>
      </c>
    </row>
    <row r="1980" spans="1:4" x14ac:dyDescent="0.3">
      <c r="A1980" t="s">
        <v>1203</v>
      </c>
      <c r="B1980">
        <v>100719</v>
      </c>
      <c r="C1980" t="s">
        <v>243</v>
      </c>
      <c r="D1980" t="s">
        <v>243</v>
      </c>
    </row>
    <row r="1981" spans="1:4" x14ac:dyDescent="0.3">
      <c r="A1981" t="s">
        <v>1203</v>
      </c>
      <c r="B1981">
        <v>100719</v>
      </c>
      <c r="C1981" t="s">
        <v>245</v>
      </c>
      <c r="D1981" t="s">
        <v>245</v>
      </c>
    </row>
    <row r="1982" spans="1:4" x14ac:dyDescent="0.3">
      <c r="A1982" t="s">
        <v>1203</v>
      </c>
      <c r="B1982">
        <v>100719</v>
      </c>
      <c r="C1982" t="s">
        <v>443</v>
      </c>
      <c r="D1982" t="s">
        <v>443</v>
      </c>
    </row>
    <row r="1983" spans="1:4" x14ac:dyDescent="0.3">
      <c r="A1983" t="s">
        <v>1204</v>
      </c>
      <c r="B1983">
        <v>100720</v>
      </c>
      <c r="C1983" t="s">
        <v>237</v>
      </c>
      <c r="D1983" t="s">
        <v>237</v>
      </c>
    </row>
    <row r="1984" spans="1:4" x14ac:dyDescent="0.3">
      <c r="A1984" t="s">
        <v>1204</v>
      </c>
      <c r="B1984">
        <v>100720</v>
      </c>
      <c r="C1984" t="s">
        <v>239</v>
      </c>
      <c r="D1984" t="s">
        <v>239</v>
      </c>
    </row>
    <row r="1985" spans="1:4" x14ac:dyDescent="0.3">
      <c r="A1985" t="s">
        <v>1204</v>
      </c>
      <c r="B1985">
        <v>100720</v>
      </c>
      <c r="C1985" t="s">
        <v>241</v>
      </c>
      <c r="D1985" t="s">
        <v>241</v>
      </c>
    </row>
    <row r="1986" spans="1:4" x14ac:dyDescent="0.3">
      <c r="A1986" t="s">
        <v>1204</v>
      </c>
      <c r="B1986">
        <v>100720</v>
      </c>
      <c r="C1986" t="s">
        <v>243</v>
      </c>
      <c r="D1986" t="s">
        <v>243</v>
      </c>
    </row>
    <row r="1987" spans="1:4" x14ac:dyDescent="0.3">
      <c r="A1987" t="s">
        <v>1204</v>
      </c>
      <c r="B1987">
        <v>100720</v>
      </c>
      <c r="C1987" t="s">
        <v>245</v>
      </c>
      <c r="D1987" t="s">
        <v>245</v>
      </c>
    </row>
    <row r="1988" spans="1:4" x14ac:dyDescent="0.3">
      <c r="A1988" t="s">
        <v>1204</v>
      </c>
      <c r="B1988">
        <v>100720</v>
      </c>
      <c r="C1988" t="s">
        <v>443</v>
      </c>
      <c r="D1988" t="s">
        <v>443</v>
      </c>
    </row>
    <row r="1989" spans="1:4" x14ac:dyDescent="0.3">
      <c r="A1989" t="s">
        <v>1205</v>
      </c>
      <c r="B1989">
        <v>100721</v>
      </c>
      <c r="C1989" t="s">
        <v>237</v>
      </c>
      <c r="D1989" t="s">
        <v>237</v>
      </c>
    </row>
    <row r="1990" spans="1:4" x14ac:dyDescent="0.3">
      <c r="A1990" t="s">
        <v>1205</v>
      </c>
      <c r="B1990">
        <v>100721</v>
      </c>
      <c r="C1990" t="s">
        <v>239</v>
      </c>
      <c r="D1990" t="s">
        <v>239</v>
      </c>
    </row>
    <row r="1991" spans="1:4" x14ac:dyDescent="0.3">
      <c r="A1991" t="s">
        <v>1205</v>
      </c>
      <c r="B1991">
        <v>100721</v>
      </c>
      <c r="C1991" t="s">
        <v>241</v>
      </c>
      <c r="D1991" t="s">
        <v>241</v>
      </c>
    </row>
    <row r="1992" spans="1:4" x14ac:dyDescent="0.3">
      <c r="A1992" t="s">
        <v>1205</v>
      </c>
      <c r="B1992">
        <v>100721</v>
      </c>
      <c r="C1992" t="s">
        <v>243</v>
      </c>
      <c r="D1992" t="s">
        <v>243</v>
      </c>
    </row>
    <row r="1993" spans="1:4" x14ac:dyDescent="0.3">
      <c r="A1993" t="s">
        <v>1205</v>
      </c>
      <c r="B1993">
        <v>100721</v>
      </c>
      <c r="C1993" t="s">
        <v>245</v>
      </c>
      <c r="D1993" t="s">
        <v>245</v>
      </c>
    </row>
    <row r="1994" spans="1:4" x14ac:dyDescent="0.3">
      <c r="A1994" t="s">
        <v>1205</v>
      </c>
      <c r="B1994">
        <v>100721</v>
      </c>
      <c r="C1994" t="s">
        <v>443</v>
      </c>
      <c r="D1994" t="s">
        <v>443</v>
      </c>
    </row>
    <row r="1995" spans="1:4" x14ac:dyDescent="0.3">
      <c r="A1995" t="s">
        <v>1206</v>
      </c>
      <c r="B1995">
        <v>100722</v>
      </c>
      <c r="C1995" t="s">
        <v>237</v>
      </c>
      <c r="D1995" t="s">
        <v>237</v>
      </c>
    </row>
    <row r="1996" spans="1:4" x14ac:dyDescent="0.3">
      <c r="A1996" t="s">
        <v>1206</v>
      </c>
      <c r="B1996">
        <v>100722</v>
      </c>
      <c r="C1996" t="s">
        <v>239</v>
      </c>
      <c r="D1996" t="s">
        <v>239</v>
      </c>
    </row>
    <row r="1997" spans="1:4" x14ac:dyDescent="0.3">
      <c r="A1997" t="s">
        <v>1206</v>
      </c>
      <c r="B1997">
        <v>100722</v>
      </c>
      <c r="C1997" t="s">
        <v>241</v>
      </c>
      <c r="D1997" t="s">
        <v>241</v>
      </c>
    </row>
    <row r="1998" spans="1:4" x14ac:dyDescent="0.3">
      <c r="A1998" t="s">
        <v>1206</v>
      </c>
      <c r="B1998">
        <v>100722</v>
      </c>
      <c r="C1998" t="s">
        <v>243</v>
      </c>
      <c r="D1998" t="s">
        <v>243</v>
      </c>
    </row>
    <row r="1999" spans="1:4" x14ac:dyDescent="0.3">
      <c r="A1999" t="s">
        <v>1206</v>
      </c>
      <c r="B1999">
        <v>100722</v>
      </c>
      <c r="C1999" t="s">
        <v>245</v>
      </c>
      <c r="D1999" t="s">
        <v>245</v>
      </c>
    </row>
    <row r="2000" spans="1:4" x14ac:dyDescent="0.3">
      <c r="A2000" t="s">
        <v>1206</v>
      </c>
      <c r="B2000">
        <v>100722</v>
      </c>
      <c r="C2000" t="s">
        <v>443</v>
      </c>
      <c r="D2000" t="s">
        <v>443</v>
      </c>
    </row>
    <row r="2001" spans="1:4" x14ac:dyDescent="0.3">
      <c r="A2001" t="s">
        <v>1207</v>
      </c>
      <c r="B2001">
        <v>100723</v>
      </c>
      <c r="C2001" t="s">
        <v>237</v>
      </c>
      <c r="D2001" t="s">
        <v>237</v>
      </c>
    </row>
    <row r="2002" spans="1:4" x14ac:dyDescent="0.3">
      <c r="A2002" t="s">
        <v>1207</v>
      </c>
      <c r="B2002">
        <v>100723</v>
      </c>
      <c r="C2002" t="s">
        <v>239</v>
      </c>
      <c r="D2002" t="s">
        <v>239</v>
      </c>
    </row>
    <row r="2003" spans="1:4" x14ac:dyDescent="0.3">
      <c r="A2003" t="s">
        <v>1207</v>
      </c>
      <c r="B2003">
        <v>100723</v>
      </c>
      <c r="C2003" t="s">
        <v>241</v>
      </c>
      <c r="D2003" t="s">
        <v>241</v>
      </c>
    </row>
    <row r="2004" spans="1:4" x14ac:dyDescent="0.3">
      <c r="A2004" t="s">
        <v>1207</v>
      </c>
      <c r="B2004">
        <v>100723</v>
      </c>
      <c r="C2004" t="s">
        <v>243</v>
      </c>
      <c r="D2004" t="s">
        <v>243</v>
      </c>
    </row>
    <row r="2005" spans="1:4" x14ac:dyDescent="0.3">
      <c r="A2005" t="s">
        <v>1207</v>
      </c>
      <c r="B2005">
        <v>100723</v>
      </c>
      <c r="C2005" t="s">
        <v>245</v>
      </c>
      <c r="D2005" t="s">
        <v>245</v>
      </c>
    </row>
    <row r="2006" spans="1:4" x14ac:dyDescent="0.3">
      <c r="A2006" t="s">
        <v>1207</v>
      </c>
      <c r="B2006">
        <v>100723</v>
      </c>
      <c r="C2006" t="s">
        <v>443</v>
      </c>
      <c r="D2006" t="s">
        <v>443</v>
      </c>
    </row>
    <row r="2007" spans="1:4" x14ac:dyDescent="0.3">
      <c r="A2007" t="s">
        <v>1208</v>
      </c>
      <c r="B2007">
        <v>100724</v>
      </c>
      <c r="C2007" t="s">
        <v>237</v>
      </c>
      <c r="D2007" t="s">
        <v>237</v>
      </c>
    </row>
    <row r="2008" spans="1:4" x14ac:dyDescent="0.3">
      <c r="A2008" t="s">
        <v>1208</v>
      </c>
      <c r="B2008">
        <v>100724</v>
      </c>
      <c r="C2008" t="s">
        <v>239</v>
      </c>
      <c r="D2008" t="s">
        <v>239</v>
      </c>
    </row>
    <row r="2009" spans="1:4" x14ac:dyDescent="0.3">
      <c r="A2009" t="s">
        <v>1208</v>
      </c>
      <c r="B2009">
        <v>100724</v>
      </c>
      <c r="C2009" t="s">
        <v>241</v>
      </c>
      <c r="D2009" t="s">
        <v>241</v>
      </c>
    </row>
    <row r="2010" spans="1:4" x14ac:dyDescent="0.3">
      <c r="A2010" t="s">
        <v>1208</v>
      </c>
      <c r="B2010">
        <v>100724</v>
      </c>
      <c r="C2010" t="s">
        <v>243</v>
      </c>
      <c r="D2010" t="s">
        <v>243</v>
      </c>
    </row>
    <row r="2011" spans="1:4" x14ac:dyDescent="0.3">
      <c r="A2011" t="s">
        <v>1208</v>
      </c>
      <c r="B2011">
        <v>100724</v>
      </c>
      <c r="C2011" t="s">
        <v>245</v>
      </c>
      <c r="D2011" t="s">
        <v>245</v>
      </c>
    </row>
    <row r="2012" spans="1:4" x14ac:dyDescent="0.3">
      <c r="A2012" t="s">
        <v>1208</v>
      </c>
      <c r="B2012">
        <v>100724</v>
      </c>
      <c r="C2012" t="s">
        <v>443</v>
      </c>
      <c r="D2012" t="s">
        <v>443</v>
      </c>
    </row>
    <row r="2013" spans="1:4" x14ac:dyDescent="0.3">
      <c r="A2013" t="s">
        <v>1209</v>
      </c>
      <c r="B2013">
        <v>100725</v>
      </c>
      <c r="C2013" t="s">
        <v>237</v>
      </c>
      <c r="D2013" t="s">
        <v>237</v>
      </c>
    </row>
    <row r="2014" spans="1:4" x14ac:dyDescent="0.3">
      <c r="A2014" t="s">
        <v>1209</v>
      </c>
      <c r="B2014">
        <v>100725</v>
      </c>
      <c r="C2014" t="s">
        <v>239</v>
      </c>
      <c r="D2014" t="s">
        <v>239</v>
      </c>
    </row>
    <row r="2015" spans="1:4" x14ac:dyDescent="0.3">
      <c r="A2015" t="s">
        <v>1209</v>
      </c>
      <c r="B2015">
        <v>100725</v>
      </c>
      <c r="C2015" t="s">
        <v>241</v>
      </c>
      <c r="D2015" t="s">
        <v>241</v>
      </c>
    </row>
    <row r="2016" spans="1:4" x14ac:dyDescent="0.3">
      <c r="A2016" t="s">
        <v>1209</v>
      </c>
      <c r="B2016">
        <v>100725</v>
      </c>
      <c r="C2016" t="s">
        <v>243</v>
      </c>
      <c r="D2016" t="s">
        <v>243</v>
      </c>
    </row>
    <row r="2017" spans="1:4" x14ac:dyDescent="0.3">
      <c r="A2017" t="s">
        <v>1209</v>
      </c>
      <c r="B2017">
        <v>100725</v>
      </c>
      <c r="C2017" t="s">
        <v>245</v>
      </c>
      <c r="D2017" t="s">
        <v>245</v>
      </c>
    </row>
    <row r="2018" spans="1:4" x14ac:dyDescent="0.3">
      <c r="A2018" t="s">
        <v>1209</v>
      </c>
      <c r="B2018">
        <v>100725</v>
      </c>
      <c r="C2018" t="s">
        <v>443</v>
      </c>
      <c r="D2018" t="s">
        <v>443</v>
      </c>
    </row>
    <row r="2019" spans="1:4" x14ac:dyDescent="0.3">
      <c r="A2019" t="s">
        <v>1210</v>
      </c>
      <c r="B2019">
        <v>100726</v>
      </c>
      <c r="C2019" t="s">
        <v>237</v>
      </c>
      <c r="D2019" t="s">
        <v>237</v>
      </c>
    </row>
    <row r="2020" spans="1:4" x14ac:dyDescent="0.3">
      <c r="A2020" t="s">
        <v>1210</v>
      </c>
      <c r="B2020">
        <v>100726</v>
      </c>
      <c r="C2020" t="s">
        <v>239</v>
      </c>
      <c r="D2020" t="s">
        <v>239</v>
      </c>
    </row>
    <row r="2021" spans="1:4" x14ac:dyDescent="0.3">
      <c r="A2021" t="s">
        <v>1210</v>
      </c>
      <c r="B2021">
        <v>100726</v>
      </c>
      <c r="C2021" t="s">
        <v>241</v>
      </c>
      <c r="D2021" t="s">
        <v>241</v>
      </c>
    </row>
    <row r="2022" spans="1:4" x14ac:dyDescent="0.3">
      <c r="A2022" t="s">
        <v>1210</v>
      </c>
      <c r="B2022">
        <v>100726</v>
      </c>
      <c r="C2022" t="s">
        <v>243</v>
      </c>
      <c r="D2022" t="s">
        <v>243</v>
      </c>
    </row>
    <row r="2023" spans="1:4" x14ac:dyDescent="0.3">
      <c r="A2023" t="s">
        <v>1210</v>
      </c>
      <c r="B2023">
        <v>100726</v>
      </c>
      <c r="C2023" t="s">
        <v>245</v>
      </c>
      <c r="D2023" t="s">
        <v>245</v>
      </c>
    </row>
    <row r="2024" spans="1:4" x14ac:dyDescent="0.3">
      <c r="A2024" t="s">
        <v>1210</v>
      </c>
      <c r="B2024">
        <v>100726</v>
      </c>
      <c r="C2024" t="s">
        <v>443</v>
      </c>
      <c r="D2024" t="s">
        <v>443</v>
      </c>
    </row>
    <row r="2025" spans="1:4" x14ac:dyDescent="0.3">
      <c r="A2025" t="s">
        <v>1211</v>
      </c>
      <c r="B2025">
        <v>100727</v>
      </c>
      <c r="C2025" t="s">
        <v>237</v>
      </c>
      <c r="D2025" t="s">
        <v>237</v>
      </c>
    </row>
    <row r="2026" spans="1:4" x14ac:dyDescent="0.3">
      <c r="A2026" t="s">
        <v>1211</v>
      </c>
      <c r="B2026">
        <v>100727</v>
      </c>
      <c r="C2026" t="s">
        <v>239</v>
      </c>
      <c r="D2026" t="s">
        <v>239</v>
      </c>
    </row>
    <row r="2027" spans="1:4" x14ac:dyDescent="0.3">
      <c r="A2027" t="s">
        <v>1211</v>
      </c>
      <c r="B2027">
        <v>100727</v>
      </c>
      <c r="C2027" t="s">
        <v>241</v>
      </c>
      <c r="D2027" t="s">
        <v>241</v>
      </c>
    </row>
    <row r="2028" spans="1:4" x14ac:dyDescent="0.3">
      <c r="A2028" t="s">
        <v>1211</v>
      </c>
      <c r="B2028">
        <v>100727</v>
      </c>
      <c r="C2028" t="s">
        <v>243</v>
      </c>
      <c r="D2028" t="s">
        <v>243</v>
      </c>
    </row>
    <row r="2029" spans="1:4" x14ac:dyDescent="0.3">
      <c r="A2029" t="s">
        <v>1211</v>
      </c>
      <c r="B2029">
        <v>100727</v>
      </c>
      <c r="C2029" t="s">
        <v>245</v>
      </c>
      <c r="D2029" t="s">
        <v>245</v>
      </c>
    </row>
    <row r="2030" spans="1:4" x14ac:dyDescent="0.3">
      <c r="A2030" t="s">
        <v>1211</v>
      </c>
      <c r="B2030">
        <v>100727</v>
      </c>
      <c r="C2030" t="s">
        <v>443</v>
      </c>
      <c r="D2030" t="s">
        <v>443</v>
      </c>
    </row>
    <row r="2031" spans="1:4" x14ac:dyDescent="0.3">
      <c r="A2031" t="s">
        <v>1212</v>
      </c>
      <c r="B2031">
        <v>100728</v>
      </c>
      <c r="C2031" t="s">
        <v>237</v>
      </c>
      <c r="D2031" t="s">
        <v>237</v>
      </c>
    </row>
    <row r="2032" spans="1:4" x14ac:dyDescent="0.3">
      <c r="A2032" t="s">
        <v>1212</v>
      </c>
      <c r="B2032">
        <v>100728</v>
      </c>
      <c r="C2032" t="s">
        <v>239</v>
      </c>
      <c r="D2032" t="s">
        <v>239</v>
      </c>
    </row>
    <row r="2033" spans="1:4" x14ac:dyDescent="0.3">
      <c r="A2033" t="s">
        <v>1212</v>
      </c>
      <c r="B2033">
        <v>100728</v>
      </c>
      <c r="C2033" t="s">
        <v>241</v>
      </c>
      <c r="D2033" t="s">
        <v>241</v>
      </c>
    </row>
    <row r="2034" spans="1:4" x14ac:dyDescent="0.3">
      <c r="A2034" t="s">
        <v>1212</v>
      </c>
      <c r="B2034">
        <v>100728</v>
      </c>
      <c r="C2034" t="s">
        <v>243</v>
      </c>
      <c r="D2034" t="s">
        <v>243</v>
      </c>
    </row>
    <row r="2035" spans="1:4" x14ac:dyDescent="0.3">
      <c r="A2035" t="s">
        <v>1212</v>
      </c>
      <c r="B2035">
        <v>100728</v>
      </c>
      <c r="C2035" t="s">
        <v>245</v>
      </c>
      <c r="D2035" t="s">
        <v>245</v>
      </c>
    </row>
    <row r="2036" spans="1:4" x14ac:dyDescent="0.3">
      <c r="A2036" t="s">
        <v>1212</v>
      </c>
      <c r="B2036">
        <v>100728</v>
      </c>
      <c r="C2036" t="s">
        <v>443</v>
      </c>
      <c r="D2036" t="s">
        <v>443</v>
      </c>
    </row>
    <row r="2037" spans="1:4" x14ac:dyDescent="0.3">
      <c r="A2037" t="s">
        <v>1213</v>
      </c>
      <c r="B2037">
        <v>100729</v>
      </c>
      <c r="C2037" t="s">
        <v>237</v>
      </c>
      <c r="D2037" t="s">
        <v>237</v>
      </c>
    </row>
    <row r="2038" spans="1:4" x14ac:dyDescent="0.3">
      <c r="A2038" t="s">
        <v>1213</v>
      </c>
      <c r="B2038">
        <v>100729</v>
      </c>
      <c r="C2038" t="s">
        <v>239</v>
      </c>
      <c r="D2038" t="s">
        <v>239</v>
      </c>
    </row>
    <row r="2039" spans="1:4" x14ac:dyDescent="0.3">
      <c r="A2039" t="s">
        <v>1213</v>
      </c>
      <c r="B2039">
        <v>100729</v>
      </c>
      <c r="C2039" t="s">
        <v>241</v>
      </c>
      <c r="D2039" t="s">
        <v>241</v>
      </c>
    </row>
    <row r="2040" spans="1:4" x14ac:dyDescent="0.3">
      <c r="A2040" t="s">
        <v>1213</v>
      </c>
      <c r="B2040">
        <v>100729</v>
      </c>
      <c r="C2040" t="s">
        <v>243</v>
      </c>
      <c r="D2040" t="s">
        <v>243</v>
      </c>
    </row>
    <row r="2041" spans="1:4" x14ac:dyDescent="0.3">
      <c r="A2041" t="s">
        <v>1213</v>
      </c>
      <c r="B2041">
        <v>100729</v>
      </c>
      <c r="C2041" t="s">
        <v>245</v>
      </c>
      <c r="D2041" t="s">
        <v>245</v>
      </c>
    </row>
    <row r="2042" spans="1:4" x14ac:dyDescent="0.3">
      <c r="A2042" t="s">
        <v>1213</v>
      </c>
      <c r="B2042">
        <v>100729</v>
      </c>
      <c r="C2042" t="s">
        <v>443</v>
      </c>
      <c r="D2042" t="s">
        <v>443</v>
      </c>
    </row>
    <row r="2043" spans="1:4" x14ac:dyDescent="0.3">
      <c r="A2043" t="s">
        <v>1214</v>
      </c>
      <c r="B2043">
        <v>100730</v>
      </c>
      <c r="C2043" t="s">
        <v>237</v>
      </c>
      <c r="D2043" t="s">
        <v>237</v>
      </c>
    </row>
    <row r="2044" spans="1:4" x14ac:dyDescent="0.3">
      <c r="A2044" t="s">
        <v>1214</v>
      </c>
      <c r="B2044">
        <v>100730</v>
      </c>
      <c r="C2044" t="s">
        <v>239</v>
      </c>
      <c r="D2044" t="s">
        <v>239</v>
      </c>
    </row>
    <row r="2045" spans="1:4" x14ac:dyDescent="0.3">
      <c r="A2045" t="s">
        <v>1214</v>
      </c>
      <c r="B2045">
        <v>100730</v>
      </c>
      <c r="C2045" t="s">
        <v>241</v>
      </c>
      <c r="D2045" t="s">
        <v>241</v>
      </c>
    </row>
    <row r="2046" spans="1:4" x14ac:dyDescent="0.3">
      <c r="A2046" t="s">
        <v>1214</v>
      </c>
      <c r="B2046">
        <v>100730</v>
      </c>
      <c r="C2046" t="s">
        <v>243</v>
      </c>
      <c r="D2046" t="s">
        <v>243</v>
      </c>
    </row>
    <row r="2047" spans="1:4" x14ac:dyDescent="0.3">
      <c r="A2047" t="s">
        <v>1214</v>
      </c>
      <c r="B2047">
        <v>100730</v>
      </c>
      <c r="C2047" t="s">
        <v>245</v>
      </c>
      <c r="D2047" t="s">
        <v>245</v>
      </c>
    </row>
    <row r="2048" spans="1:4" x14ac:dyDescent="0.3">
      <c r="A2048" t="s">
        <v>1214</v>
      </c>
      <c r="B2048">
        <v>100730</v>
      </c>
      <c r="C2048" t="s">
        <v>443</v>
      </c>
      <c r="D2048" t="s">
        <v>443</v>
      </c>
    </row>
    <row r="2049" spans="1:4" x14ac:dyDescent="0.3">
      <c r="A2049" t="s">
        <v>1215</v>
      </c>
      <c r="B2049">
        <v>100731</v>
      </c>
      <c r="C2049" t="s">
        <v>237</v>
      </c>
      <c r="D2049" t="s">
        <v>237</v>
      </c>
    </row>
    <row r="2050" spans="1:4" x14ac:dyDescent="0.3">
      <c r="A2050" t="s">
        <v>1215</v>
      </c>
      <c r="B2050">
        <v>100731</v>
      </c>
      <c r="C2050" t="s">
        <v>239</v>
      </c>
      <c r="D2050" t="s">
        <v>239</v>
      </c>
    </row>
    <row r="2051" spans="1:4" x14ac:dyDescent="0.3">
      <c r="A2051" t="s">
        <v>1215</v>
      </c>
      <c r="B2051">
        <v>100731</v>
      </c>
      <c r="C2051" t="s">
        <v>241</v>
      </c>
      <c r="D2051" t="s">
        <v>241</v>
      </c>
    </row>
    <row r="2052" spans="1:4" x14ac:dyDescent="0.3">
      <c r="A2052" t="s">
        <v>1215</v>
      </c>
      <c r="B2052">
        <v>100731</v>
      </c>
      <c r="C2052" t="s">
        <v>243</v>
      </c>
      <c r="D2052" t="s">
        <v>243</v>
      </c>
    </row>
    <row r="2053" spans="1:4" x14ac:dyDescent="0.3">
      <c r="A2053" t="s">
        <v>1215</v>
      </c>
      <c r="B2053">
        <v>100731</v>
      </c>
      <c r="C2053" t="s">
        <v>245</v>
      </c>
      <c r="D2053" t="s">
        <v>245</v>
      </c>
    </row>
    <row r="2054" spans="1:4" x14ac:dyDescent="0.3">
      <c r="A2054" t="s">
        <v>1215</v>
      </c>
      <c r="B2054">
        <v>100731</v>
      </c>
      <c r="C2054" t="s">
        <v>443</v>
      </c>
      <c r="D2054" t="s">
        <v>443</v>
      </c>
    </row>
    <row r="2055" spans="1:4" x14ac:dyDescent="0.3">
      <c r="A2055" t="s">
        <v>1216</v>
      </c>
      <c r="B2055">
        <v>100732</v>
      </c>
      <c r="C2055" t="s">
        <v>237</v>
      </c>
      <c r="D2055" t="s">
        <v>237</v>
      </c>
    </row>
    <row r="2056" spans="1:4" x14ac:dyDescent="0.3">
      <c r="A2056" t="s">
        <v>1216</v>
      </c>
      <c r="B2056">
        <v>100732</v>
      </c>
      <c r="C2056" t="s">
        <v>239</v>
      </c>
      <c r="D2056" t="s">
        <v>239</v>
      </c>
    </row>
    <row r="2057" spans="1:4" x14ac:dyDescent="0.3">
      <c r="A2057" t="s">
        <v>1216</v>
      </c>
      <c r="B2057">
        <v>100732</v>
      </c>
      <c r="C2057" t="s">
        <v>241</v>
      </c>
      <c r="D2057" t="s">
        <v>241</v>
      </c>
    </row>
    <row r="2058" spans="1:4" x14ac:dyDescent="0.3">
      <c r="A2058" t="s">
        <v>1216</v>
      </c>
      <c r="B2058">
        <v>100732</v>
      </c>
      <c r="C2058" t="s">
        <v>243</v>
      </c>
      <c r="D2058" t="s">
        <v>243</v>
      </c>
    </row>
    <row r="2059" spans="1:4" x14ac:dyDescent="0.3">
      <c r="A2059" t="s">
        <v>1216</v>
      </c>
      <c r="B2059">
        <v>100732</v>
      </c>
      <c r="C2059" t="s">
        <v>245</v>
      </c>
      <c r="D2059" t="s">
        <v>245</v>
      </c>
    </row>
    <row r="2060" spans="1:4" x14ac:dyDescent="0.3">
      <c r="A2060" t="s">
        <v>1216</v>
      </c>
      <c r="B2060">
        <v>100732</v>
      </c>
      <c r="C2060" t="s">
        <v>443</v>
      </c>
      <c r="D2060" t="s">
        <v>443</v>
      </c>
    </row>
    <row r="2061" spans="1:4" x14ac:dyDescent="0.3">
      <c r="A2061" t="s">
        <v>1217</v>
      </c>
      <c r="B2061">
        <v>100733</v>
      </c>
      <c r="C2061" t="s">
        <v>237</v>
      </c>
      <c r="D2061" t="s">
        <v>237</v>
      </c>
    </row>
    <row r="2062" spans="1:4" x14ac:dyDescent="0.3">
      <c r="A2062" t="s">
        <v>1217</v>
      </c>
      <c r="B2062">
        <v>100733</v>
      </c>
      <c r="C2062" t="s">
        <v>239</v>
      </c>
      <c r="D2062" t="s">
        <v>239</v>
      </c>
    </row>
    <row r="2063" spans="1:4" x14ac:dyDescent="0.3">
      <c r="A2063" t="s">
        <v>1217</v>
      </c>
      <c r="B2063">
        <v>100733</v>
      </c>
      <c r="C2063" t="s">
        <v>241</v>
      </c>
      <c r="D2063" t="s">
        <v>241</v>
      </c>
    </row>
    <row r="2064" spans="1:4" x14ac:dyDescent="0.3">
      <c r="A2064" t="s">
        <v>1217</v>
      </c>
      <c r="B2064">
        <v>100733</v>
      </c>
      <c r="C2064" t="s">
        <v>243</v>
      </c>
      <c r="D2064" t="s">
        <v>243</v>
      </c>
    </row>
    <row r="2065" spans="1:4" x14ac:dyDescent="0.3">
      <c r="A2065" t="s">
        <v>1217</v>
      </c>
      <c r="B2065">
        <v>100733</v>
      </c>
      <c r="C2065" t="s">
        <v>245</v>
      </c>
      <c r="D2065" t="s">
        <v>245</v>
      </c>
    </row>
    <row r="2066" spans="1:4" x14ac:dyDescent="0.3">
      <c r="A2066" t="s">
        <v>1217</v>
      </c>
      <c r="B2066">
        <v>100733</v>
      </c>
      <c r="C2066" t="s">
        <v>443</v>
      </c>
      <c r="D2066" t="s">
        <v>443</v>
      </c>
    </row>
    <row r="2067" spans="1:4" x14ac:dyDescent="0.3">
      <c r="A2067" t="s">
        <v>1218</v>
      </c>
      <c r="B2067">
        <v>100734</v>
      </c>
      <c r="C2067" t="s">
        <v>237</v>
      </c>
      <c r="D2067" t="s">
        <v>237</v>
      </c>
    </row>
    <row r="2068" spans="1:4" x14ac:dyDescent="0.3">
      <c r="A2068" t="s">
        <v>1218</v>
      </c>
      <c r="B2068">
        <v>100734</v>
      </c>
      <c r="C2068" t="s">
        <v>239</v>
      </c>
      <c r="D2068" t="s">
        <v>239</v>
      </c>
    </row>
    <row r="2069" spans="1:4" x14ac:dyDescent="0.3">
      <c r="A2069" t="s">
        <v>1218</v>
      </c>
      <c r="B2069">
        <v>100734</v>
      </c>
      <c r="C2069" t="s">
        <v>241</v>
      </c>
      <c r="D2069" t="s">
        <v>241</v>
      </c>
    </row>
    <row r="2070" spans="1:4" x14ac:dyDescent="0.3">
      <c r="A2070" t="s">
        <v>1218</v>
      </c>
      <c r="B2070">
        <v>100734</v>
      </c>
      <c r="C2070" t="s">
        <v>243</v>
      </c>
      <c r="D2070" t="s">
        <v>243</v>
      </c>
    </row>
    <row r="2071" spans="1:4" x14ac:dyDescent="0.3">
      <c r="A2071" t="s">
        <v>1218</v>
      </c>
      <c r="B2071">
        <v>100734</v>
      </c>
      <c r="C2071" t="s">
        <v>245</v>
      </c>
      <c r="D2071" t="s">
        <v>245</v>
      </c>
    </row>
    <row r="2072" spans="1:4" x14ac:dyDescent="0.3">
      <c r="A2072" t="s">
        <v>1218</v>
      </c>
      <c r="B2072">
        <v>100734</v>
      </c>
      <c r="C2072" t="s">
        <v>443</v>
      </c>
      <c r="D2072" t="s">
        <v>443</v>
      </c>
    </row>
    <row r="2073" spans="1:4" x14ac:dyDescent="0.3">
      <c r="A2073" t="s">
        <v>1219</v>
      </c>
      <c r="B2073">
        <v>100735</v>
      </c>
      <c r="C2073" t="s">
        <v>237</v>
      </c>
      <c r="D2073" t="s">
        <v>237</v>
      </c>
    </row>
    <row r="2074" spans="1:4" x14ac:dyDescent="0.3">
      <c r="A2074" t="s">
        <v>1219</v>
      </c>
      <c r="B2074">
        <v>100735</v>
      </c>
      <c r="C2074" t="s">
        <v>239</v>
      </c>
      <c r="D2074" t="s">
        <v>239</v>
      </c>
    </row>
    <row r="2075" spans="1:4" x14ac:dyDescent="0.3">
      <c r="A2075" t="s">
        <v>1219</v>
      </c>
      <c r="B2075">
        <v>100735</v>
      </c>
      <c r="C2075" t="s">
        <v>241</v>
      </c>
      <c r="D2075" t="s">
        <v>241</v>
      </c>
    </row>
    <row r="2076" spans="1:4" x14ac:dyDescent="0.3">
      <c r="A2076" t="s">
        <v>1219</v>
      </c>
      <c r="B2076">
        <v>100735</v>
      </c>
      <c r="C2076" t="s">
        <v>243</v>
      </c>
      <c r="D2076" t="s">
        <v>243</v>
      </c>
    </row>
    <row r="2077" spans="1:4" x14ac:dyDescent="0.3">
      <c r="A2077" t="s">
        <v>1219</v>
      </c>
      <c r="B2077">
        <v>100735</v>
      </c>
      <c r="C2077" t="s">
        <v>245</v>
      </c>
      <c r="D2077" t="s">
        <v>245</v>
      </c>
    </row>
    <row r="2078" spans="1:4" x14ac:dyDescent="0.3">
      <c r="A2078" t="s">
        <v>1219</v>
      </c>
      <c r="B2078">
        <v>100735</v>
      </c>
      <c r="C2078" t="s">
        <v>443</v>
      </c>
      <c r="D2078" t="s">
        <v>443</v>
      </c>
    </row>
    <row r="2079" spans="1:4" x14ac:dyDescent="0.3">
      <c r="A2079" t="s">
        <v>1220</v>
      </c>
      <c r="B2079">
        <v>100736</v>
      </c>
      <c r="C2079" t="s">
        <v>237</v>
      </c>
      <c r="D2079" t="s">
        <v>237</v>
      </c>
    </row>
    <row r="2080" spans="1:4" x14ac:dyDescent="0.3">
      <c r="A2080" t="s">
        <v>1220</v>
      </c>
      <c r="B2080">
        <v>100736</v>
      </c>
      <c r="C2080" t="s">
        <v>239</v>
      </c>
      <c r="D2080" t="s">
        <v>239</v>
      </c>
    </row>
    <row r="2081" spans="1:4" x14ac:dyDescent="0.3">
      <c r="A2081" t="s">
        <v>1220</v>
      </c>
      <c r="B2081">
        <v>100736</v>
      </c>
      <c r="C2081" t="s">
        <v>241</v>
      </c>
      <c r="D2081" t="s">
        <v>241</v>
      </c>
    </row>
    <row r="2082" spans="1:4" x14ac:dyDescent="0.3">
      <c r="A2082" t="s">
        <v>1220</v>
      </c>
      <c r="B2082">
        <v>100736</v>
      </c>
      <c r="C2082" t="s">
        <v>243</v>
      </c>
      <c r="D2082" t="s">
        <v>243</v>
      </c>
    </row>
    <row r="2083" spans="1:4" x14ac:dyDescent="0.3">
      <c r="A2083" t="s">
        <v>1220</v>
      </c>
      <c r="B2083">
        <v>100736</v>
      </c>
      <c r="C2083" t="s">
        <v>245</v>
      </c>
      <c r="D2083" t="s">
        <v>245</v>
      </c>
    </row>
    <row r="2084" spans="1:4" x14ac:dyDescent="0.3">
      <c r="A2084" t="s">
        <v>1220</v>
      </c>
      <c r="B2084">
        <v>100736</v>
      </c>
      <c r="C2084" t="s">
        <v>443</v>
      </c>
      <c r="D2084" t="s">
        <v>443</v>
      </c>
    </row>
    <row r="2085" spans="1:4" x14ac:dyDescent="0.3">
      <c r="A2085" t="s">
        <v>1221</v>
      </c>
      <c r="B2085">
        <v>100737</v>
      </c>
      <c r="C2085" t="s">
        <v>237</v>
      </c>
      <c r="D2085" t="s">
        <v>237</v>
      </c>
    </row>
    <row r="2086" spans="1:4" x14ac:dyDescent="0.3">
      <c r="A2086" t="s">
        <v>1221</v>
      </c>
      <c r="B2086">
        <v>100737</v>
      </c>
      <c r="C2086" t="s">
        <v>239</v>
      </c>
      <c r="D2086" t="s">
        <v>239</v>
      </c>
    </row>
    <row r="2087" spans="1:4" x14ac:dyDescent="0.3">
      <c r="A2087" t="s">
        <v>1221</v>
      </c>
      <c r="B2087">
        <v>100737</v>
      </c>
      <c r="C2087" t="s">
        <v>241</v>
      </c>
      <c r="D2087" t="s">
        <v>241</v>
      </c>
    </row>
    <row r="2088" spans="1:4" x14ac:dyDescent="0.3">
      <c r="A2088" t="s">
        <v>1221</v>
      </c>
      <c r="B2088">
        <v>100737</v>
      </c>
      <c r="C2088" t="s">
        <v>243</v>
      </c>
      <c r="D2088" t="s">
        <v>243</v>
      </c>
    </row>
    <row r="2089" spans="1:4" x14ac:dyDescent="0.3">
      <c r="A2089" t="s">
        <v>1221</v>
      </c>
      <c r="B2089">
        <v>100737</v>
      </c>
      <c r="C2089" t="s">
        <v>245</v>
      </c>
      <c r="D2089" t="s">
        <v>245</v>
      </c>
    </row>
    <row r="2090" spans="1:4" x14ac:dyDescent="0.3">
      <c r="A2090" t="s">
        <v>1221</v>
      </c>
      <c r="B2090">
        <v>100737</v>
      </c>
      <c r="C2090" t="s">
        <v>443</v>
      </c>
      <c r="D2090" t="s">
        <v>443</v>
      </c>
    </row>
    <row r="2091" spans="1:4" x14ac:dyDescent="0.3">
      <c r="A2091" t="s">
        <v>1222</v>
      </c>
      <c r="B2091">
        <v>100738</v>
      </c>
      <c r="C2091" t="s">
        <v>237</v>
      </c>
      <c r="D2091" t="s">
        <v>237</v>
      </c>
    </row>
    <row r="2092" spans="1:4" x14ac:dyDescent="0.3">
      <c r="A2092" t="s">
        <v>1222</v>
      </c>
      <c r="B2092">
        <v>100738</v>
      </c>
      <c r="C2092" t="s">
        <v>239</v>
      </c>
      <c r="D2092" t="s">
        <v>239</v>
      </c>
    </row>
    <row r="2093" spans="1:4" x14ac:dyDescent="0.3">
      <c r="A2093" t="s">
        <v>1222</v>
      </c>
      <c r="B2093">
        <v>100738</v>
      </c>
      <c r="C2093" t="s">
        <v>241</v>
      </c>
      <c r="D2093" t="s">
        <v>241</v>
      </c>
    </row>
    <row r="2094" spans="1:4" x14ac:dyDescent="0.3">
      <c r="A2094" t="s">
        <v>1222</v>
      </c>
      <c r="B2094">
        <v>100738</v>
      </c>
      <c r="C2094" t="s">
        <v>243</v>
      </c>
      <c r="D2094" t="s">
        <v>243</v>
      </c>
    </row>
    <row r="2095" spans="1:4" x14ac:dyDescent="0.3">
      <c r="A2095" t="s">
        <v>1222</v>
      </c>
      <c r="B2095">
        <v>100738</v>
      </c>
      <c r="C2095" t="s">
        <v>245</v>
      </c>
      <c r="D2095" t="s">
        <v>245</v>
      </c>
    </row>
    <row r="2096" spans="1:4" x14ac:dyDescent="0.3">
      <c r="A2096" t="s">
        <v>1222</v>
      </c>
      <c r="B2096">
        <v>100738</v>
      </c>
      <c r="C2096" t="s">
        <v>443</v>
      </c>
      <c r="D2096" t="s">
        <v>443</v>
      </c>
    </row>
    <row r="2097" spans="1:4" x14ac:dyDescent="0.3">
      <c r="A2097" t="s">
        <v>1223</v>
      </c>
      <c r="B2097">
        <v>100739</v>
      </c>
      <c r="C2097" t="s">
        <v>237</v>
      </c>
      <c r="D2097" t="s">
        <v>237</v>
      </c>
    </row>
    <row r="2098" spans="1:4" x14ac:dyDescent="0.3">
      <c r="A2098" t="s">
        <v>1223</v>
      </c>
      <c r="B2098">
        <v>100739</v>
      </c>
      <c r="C2098" t="s">
        <v>239</v>
      </c>
      <c r="D2098" t="s">
        <v>239</v>
      </c>
    </row>
    <row r="2099" spans="1:4" x14ac:dyDescent="0.3">
      <c r="A2099" t="s">
        <v>1223</v>
      </c>
      <c r="B2099">
        <v>100739</v>
      </c>
      <c r="C2099" t="s">
        <v>241</v>
      </c>
      <c r="D2099" t="s">
        <v>241</v>
      </c>
    </row>
    <row r="2100" spans="1:4" x14ac:dyDescent="0.3">
      <c r="A2100" t="s">
        <v>1223</v>
      </c>
      <c r="B2100">
        <v>100739</v>
      </c>
      <c r="C2100" t="s">
        <v>243</v>
      </c>
      <c r="D2100" t="s">
        <v>243</v>
      </c>
    </row>
    <row r="2101" spans="1:4" x14ac:dyDescent="0.3">
      <c r="A2101" t="s">
        <v>1223</v>
      </c>
      <c r="B2101">
        <v>100739</v>
      </c>
      <c r="C2101" t="s">
        <v>245</v>
      </c>
      <c r="D2101" t="s">
        <v>245</v>
      </c>
    </row>
    <row r="2102" spans="1:4" x14ac:dyDescent="0.3">
      <c r="A2102" t="s">
        <v>1223</v>
      </c>
      <c r="B2102">
        <v>100739</v>
      </c>
      <c r="C2102" t="s">
        <v>443</v>
      </c>
      <c r="D2102" t="s">
        <v>443</v>
      </c>
    </row>
    <row r="2103" spans="1:4" x14ac:dyDescent="0.3">
      <c r="A2103" t="s">
        <v>1224</v>
      </c>
      <c r="B2103">
        <v>100740</v>
      </c>
      <c r="C2103" t="s">
        <v>237</v>
      </c>
      <c r="D2103" t="s">
        <v>237</v>
      </c>
    </row>
    <row r="2104" spans="1:4" x14ac:dyDescent="0.3">
      <c r="A2104" t="s">
        <v>1224</v>
      </c>
      <c r="B2104">
        <v>100740</v>
      </c>
      <c r="C2104" t="s">
        <v>239</v>
      </c>
      <c r="D2104" t="s">
        <v>239</v>
      </c>
    </row>
    <row r="2105" spans="1:4" x14ac:dyDescent="0.3">
      <c r="A2105" t="s">
        <v>1224</v>
      </c>
      <c r="B2105">
        <v>100740</v>
      </c>
      <c r="C2105" t="s">
        <v>241</v>
      </c>
      <c r="D2105" t="s">
        <v>241</v>
      </c>
    </row>
    <row r="2106" spans="1:4" x14ac:dyDescent="0.3">
      <c r="A2106" t="s">
        <v>1224</v>
      </c>
      <c r="B2106">
        <v>100740</v>
      </c>
      <c r="C2106" t="s">
        <v>243</v>
      </c>
      <c r="D2106" t="s">
        <v>243</v>
      </c>
    </row>
    <row r="2107" spans="1:4" x14ac:dyDescent="0.3">
      <c r="A2107" t="s">
        <v>1224</v>
      </c>
      <c r="B2107">
        <v>100740</v>
      </c>
      <c r="C2107" t="s">
        <v>245</v>
      </c>
      <c r="D2107" t="s">
        <v>245</v>
      </c>
    </row>
    <row r="2108" spans="1:4" x14ac:dyDescent="0.3">
      <c r="A2108" t="s">
        <v>1224</v>
      </c>
      <c r="B2108">
        <v>100740</v>
      </c>
      <c r="C2108" t="s">
        <v>443</v>
      </c>
      <c r="D2108" t="s">
        <v>443</v>
      </c>
    </row>
    <row r="2109" spans="1:4" x14ac:dyDescent="0.3">
      <c r="A2109" t="s">
        <v>1225</v>
      </c>
      <c r="B2109">
        <v>100741</v>
      </c>
      <c r="C2109" t="s">
        <v>237</v>
      </c>
      <c r="D2109" t="s">
        <v>237</v>
      </c>
    </row>
    <row r="2110" spans="1:4" x14ac:dyDescent="0.3">
      <c r="A2110" t="s">
        <v>1225</v>
      </c>
      <c r="B2110">
        <v>100741</v>
      </c>
      <c r="C2110" t="s">
        <v>239</v>
      </c>
      <c r="D2110" t="s">
        <v>239</v>
      </c>
    </row>
    <row r="2111" spans="1:4" x14ac:dyDescent="0.3">
      <c r="A2111" t="s">
        <v>1225</v>
      </c>
      <c r="B2111">
        <v>100741</v>
      </c>
      <c r="C2111" t="s">
        <v>241</v>
      </c>
      <c r="D2111" t="s">
        <v>241</v>
      </c>
    </row>
    <row r="2112" spans="1:4" x14ac:dyDescent="0.3">
      <c r="A2112" t="s">
        <v>1225</v>
      </c>
      <c r="B2112">
        <v>100741</v>
      </c>
      <c r="C2112" t="s">
        <v>243</v>
      </c>
      <c r="D2112" t="s">
        <v>243</v>
      </c>
    </row>
    <row r="2113" spans="1:4" x14ac:dyDescent="0.3">
      <c r="A2113" t="s">
        <v>1225</v>
      </c>
      <c r="B2113">
        <v>100741</v>
      </c>
      <c r="C2113" t="s">
        <v>245</v>
      </c>
      <c r="D2113" t="s">
        <v>245</v>
      </c>
    </row>
    <row r="2114" spans="1:4" x14ac:dyDescent="0.3">
      <c r="A2114" t="s">
        <v>1225</v>
      </c>
      <c r="B2114">
        <v>100741</v>
      </c>
      <c r="C2114" t="s">
        <v>443</v>
      </c>
      <c r="D2114" t="s">
        <v>443</v>
      </c>
    </row>
    <row r="2115" spans="1:4" x14ac:dyDescent="0.3">
      <c r="A2115" t="s">
        <v>1226</v>
      </c>
      <c r="B2115">
        <v>100742</v>
      </c>
      <c r="C2115" t="s">
        <v>237</v>
      </c>
      <c r="D2115" t="s">
        <v>237</v>
      </c>
    </row>
    <row r="2116" spans="1:4" x14ac:dyDescent="0.3">
      <c r="A2116" t="s">
        <v>1226</v>
      </c>
      <c r="B2116">
        <v>100742</v>
      </c>
      <c r="C2116" t="s">
        <v>239</v>
      </c>
      <c r="D2116" t="s">
        <v>239</v>
      </c>
    </row>
    <row r="2117" spans="1:4" x14ac:dyDescent="0.3">
      <c r="A2117" t="s">
        <v>1226</v>
      </c>
      <c r="B2117">
        <v>100742</v>
      </c>
      <c r="C2117" t="s">
        <v>241</v>
      </c>
      <c r="D2117" t="s">
        <v>241</v>
      </c>
    </row>
    <row r="2118" spans="1:4" x14ac:dyDescent="0.3">
      <c r="A2118" t="s">
        <v>1226</v>
      </c>
      <c r="B2118">
        <v>100742</v>
      </c>
      <c r="C2118" t="s">
        <v>243</v>
      </c>
      <c r="D2118" t="s">
        <v>243</v>
      </c>
    </row>
    <row r="2119" spans="1:4" x14ac:dyDescent="0.3">
      <c r="A2119" t="s">
        <v>1226</v>
      </c>
      <c r="B2119">
        <v>100742</v>
      </c>
      <c r="C2119" t="s">
        <v>245</v>
      </c>
      <c r="D2119" t="s">
        <v>245</v>
      </c>
    </row>
    <row r="2120" spans="1:4" x14ac:dyDescent="0.3">
      <c r="A2120" t="s">
        <v>1226</v>
      </c>
      <c r="B2120">
        <v>100742</v>
      </c>
      <c r="C2120" t="s">
        <v>443</v>
      </c>
      <c r="D2120" t="s">
        <v>443</v>
      </c>
    </row>
    <row r="2121" spans="1:4" x14ac:dyDescent="0.3">
      <c r="A2121" t="s">
        <v>1227</v>
      </c>
      <c r="B2121">
        <v>100743</v>
      </c>
      <c r="C2121" t="s">
        <v>237</v>
      </c>
      <c r="D2121" t="s">
        <v>237</v>
      </c>
    </row>
    <row r="2122" spans="1:4" x14ac:dyDescent="0.3">
      <c r="A2122" t="s">
        <v>1227</v>
      </c>
      <c r="B2122">
        <v>100743</v>
      </c>
      <c r="C2122" t="s">
        <v>239</v>
      </c>
      <c r="D2122" t="s">
        <v>239</v>
      </c>
    </row>
    <row r="2123" spans="1:4" x14ac:dyDescent="0.3">
      <c r="A2123" t="s">
        <v>1227</v>
      </c>
      <c r="B2123">
        <v>100743</v>
      </c>
      <c r="C2123" t="s">
        <v>241</v>
      </c>
      <c r="D2123" t="s">
        <v>241</v>
      </c>
    </row>
    <row r="2124" spans="1:4" x14ac:dyDescent="0.3">
      <c r="A2124" t="s">
        <v>1227</v>
      </c>
      <c r="B2124">
        <v>100743</v>
      </c>
      <c r="C2124" t="s">
        <v>243</v>
      </c>
      <c r="D2124" t="s">
        <v>243</v>
      </c>
    </row>
    <row r="2125" spans="1:4" x14ac:dyDescent="0.3">
      <c r="A2125" t="s">
        <v>1227</v>
      </c>
      <c r="B2125">
        <v>100743</v>
      </c>
      <c r="C2125" t="s">
        <v>245</v>
      </c>
      <c r="D2125" t="s">
        <v>245</v>
      </c>
    </row>
    <row r="2126" spans="1:4" x14ac:dyDescent="0.3">
      <c r="A2126" t="s">
        <v>1227</v>
      </c>
      <c r="B2126">
        <v>100743</v>
      </c>
      <c r="C2126" t="s">
        <v>443</v>
      </c>
      <c r="D2126" t="s">
        <v>443</v>
      </c>
    </row>
    <row r="2127" spans="1:4" x14ac:dyDescent="0.3">
      <c r="A2127" t="s">
        <v>1228</v>
      </c>
      <c r="B2127">
        <v>100744</v>
      </c>
      <c r="C2127" t="s">
        <v>237</v>
      </c>
      <c r="D2127" t="s">
        <v>237</v>
      </c>
    </row>
    <row r="2128" spans="1:4" x14ac:dyDescent="0.3">
      <c r="A2128" t="s">
        <v>1228</v>
      </c>
      <c r="B2128">
        <v>100744</v>
      </c>
      <c r="C2128" t="s">
        <v>239</v>
      </c>
      <c r="D2128" t="s">
        <v>239</v>
      </c>
    </row>
    <row r="2129" spans="1:4" x14ac:dyDescent="0.3">
      <c r="A2129" t="s">
        <v>1228</v>
      </c>
      <c r="B2129">
        <v>100744</v>
      </c>
      <c r="C2129" t="s">
        <v>241</v>
      </c>
      <c r="D2129" t="s">
        <v>241</v>
      </c>
    </row>
    <row r="2130" spans="1:4" x14ac:dyDescent="0.3">
      <c r="A2130" t="s">
        <v>1228</v>
      </c>
      <c r="B2130">
        <v>100744</v>
      </c>
      <c r="C2130" t="s">
        <v>243</v>
      </c>
      <c r="D2130" t="s">
        <v>243</v>
      </c>
    </row>
    <row r="2131" spans="1:4" x14ac:dyDescent="0.3">
      <c r="A2131" t="s">
        <v>1228</v>
      </c>
      <c r="B2131">
        <v>100744</v>
      </c>
      <c r="C2131" t="s">
        <v>245</v>
      </c>
      <c r="D2131" t="s">
        <v>245</v>
      </c>
    </row>
    <row r="2132" spans="1:4" x14ac:dyDescent="0.3">
      <c r="A2132" t="s">
        <v>1228</v>
      </c>
      <c r="B2132">
        <v>100744</v>
      </c>
      <c r="C2132" t="s">
        <v>443</v>
      </c>
      <c r="D2132" t="s">
        <v>443</v>
      </c>
    </row>
    <row r="2133" spans="1:4" x14ac:dyDescent="0.3">
      <c r="A2133" t="s">
        <v>1229</v>
      </c>
      <c r="B2133">
        <v>100745</v>
      </c>
      <c r="C2133" t="s">
        <v>237</v>
      </c>
      <c r="D2133" t="s">
        <v>237</v>
      </c>
    </row>
    <row r="2134" spans="1:4" x14ac:dyDescent="0.3">
      <c r="A2134" t="s">
        <v>1229</v>
      </c>
      <c r="B2134">
        <v>100745</v>
      </c>
      <c r="C2134" t="s">
        <v>239</v>
      </c>
      <c r="D2134" t="s">
        <v>239</v>
      </c>
    </row>
    <row r="2135" spans="1:4" x14ac:dyDescent="0.3">
      <c r="A2135" t="s">
        <v>1229</v>
      </c>
      <c r="B2135">
        <v>100745</v>
      </c>
      <c r="C2135" t="s">
        <v>241</v>
      </c>
      <c r="D2135" t="s">
        <v>241</v>
      </c>
    </row>
    <row r="2136" spans="1:4" x14ac:dyDescent="0.3">
      <c r="A2136" t="s">
        <v>1229</v>
      </c>
      <c r="B2136">
        <v>100745</v>
      </c>
      <c r="C2136" t="s">
        <v>243</v>
      </c>
      <c r="D2136" t="s">
        <v>243</v>
      </c>
    </row>
    <row r="2137" spans="1:4" x14ac:dyDescent="0.3">
      <c r="A2137" t="s">
        <v>1229</v>
      </c>
      <c r="B2137">
        <v>100745</v>
      </c>
      <c r="C2137" t="s">
        <v>245</v>
      </c>
      <c r="D2137" t="s">
        <v>245</v>
      </c>
    </row>
    <row r="2138" spans="1:4" x14ac:dyDescent="0.3">
      <c r="A2138" t="s">
        <v>1229</v>
      </c>
      <c r="B2138">
        <v>100745</v>
      </c>
      <c r="C2138" t="s">
        <v>443</v>
      </c>
      <c r="D2138" t="s">
        <v>443</v>
      </c>
    </row>
    <row r="2139" spans="1:4" x14ac:dyDescent="0.3">
      <c r="A2139" t="s">
        <v>1230</v>
      </c>
      <c r="B2139">
        <v>100151</v>
      </c>
      <c r="C2139" t="s">
        <v>1231</v>
      </c>
      <c r="D2139" t="s">
        <v>1231</v>
      </c>
    </row>
    <row r="2140" spans="1:4" x14ac:dyDescent="0.3">
      <c r="A2140" t="s">
        <v>1230</v>
      </c>
      <c r="B2140">
        <v>100151</v>
      </c>
      <c r="C2140" t="s">
        <v>1232</v>
      </c>
      <c r="D2140" t="s">
        <v>1232</v>
      </c>
    </row>
    <row r="2141" spans="1:4" x14ac:dyDescent="0.3">
      <c r="A2141" t="s">
        <v>1230</v>
      </c>
      <c r="B2141">
        <v>100151</v>
      </c>
      <c r="C2141" t="s">
        <v>1233</v>
      </c>
      <c r="D2141" t="s">
        <v>1233</v>
      </c>
    </row>
    <row r="2142" spans="1:4" x14ac:dyDescent="0.3">
      <c r="A2142" t="s">
        <v>1230</v>
      </c>
      <c r="B2142">
        <v>100151</v>
      </c>
      <c r="C2142" t="s">
        <v>1234</v>
      </c>
      <c r="D2142" t="s">
        <v>1234</v>
      </c>
    </row>
    <row r="2143" spans="1:4" x14ac:dyDescent="0.3">
      <c r="A2143" t="s">
        <v>1235</v>
      </c>
      <c r="B2143">
        <v>100152</v>
      </c>
      <c r="C2143" t="s">
        <v>122</v>
      </c>
      <c r="D2143" t="s">
        <v>122</v>
      </c>
    </row>
    <row r="2144" spans="1:4" x14ac:dyDescent="0.3">
      <c r="A2144" t="s">
        <v>1235</v>
      </c>
      <c r="B2144">
        <v>100152</v>
      </c>
      <c r="C2144" t="s">
        <v>124</v>
      </c>
      <c r="D2144" t="s">
        <v>124</v>
      </c>
    </row>
    <row r="2145" spans="1:4" x14ac:dyDescent="0.3">
      <c r="A2145" t="s">
        <v>1235</v>
      </c>
      <c r="B2145">
        <v>100152</v>
      </c>
      <c r="C2145" t="s">
        <v>119</v>
      </c>
      <c r="D2145" t="s">
        <v>119</v>
      </c>
    </row>
    <row r="2146" spans="1:4" x14ac:dyDescent="0.3">
      <c r="A2146" t="s">
        <v>1236</v>
      </c>
      <c r="B2146">
        <v>100153</v>
      </c>
      <c r="C2146" t="s">
        <v>121</v>
      </c>
      <c r="D2146" t="s">
        <v>121</v>
      </c>
    </row>
    <row r="2147" spans="1:4" x14ac:dyDescent="0.3">
      <c r="A2147" t="s">
        <v>1236</v>
      </c>
      <c r="B2147">
        <v>100153</v>
      </c>
      <c r="C2147" t="s">
        <v>120</v>
      </c>
      <c r="D2147" t="s">
        <v>120</v>
      </c>
    </row>
    <row r="2148" spans="1:4" x14ac:dyDescent="0.3">
      <c r="A2148" t="s">
        <v>1237</v>
      </c>
      <c r="B2148">
        <v>100154</v>
      </c>
      <c r="C2148" t="s">
        <v>121</v>
      </c>
      <c r="D2148" t="s">
        <v>121</v>
      </c>
    </row>
    <row r="2149" spans="1:4" x14ac:dyDescent="0.3">
      <c r="A2149" t="s">
        <v>1237</v>
      </c>
      <c r="B2149">
        <v>100154</v>
      </c>
      <c r="C2149" t="s">
        <v>120</v>
      </c>
      <c r="D2149" t="s">
        <v>120</v>
      </c>
    </row>
    <row r="2150" spans="1:4" x14ac:dyDescent="0.3">
      <c r="A2150" t="s">
        <v>1238</v>
      </c>
      <c r="B2150">
        <v>100155</v>
      </c>
      <c r="C2150" t="s">
        <v>121</v>
      </c>
      <c r="D2150" t="s">
        <v>121</v>
      </c>
    </row>
    <row r="2151" spans="1:4" x14ac:dyDescent="0.3">
      <c r="A2151" t="s">
        <v>1238</v>
      </c>
      <c r="B2151">
        <v>100155</v>
      </c>
      <c r="C2151" t="s">
        <v>120</v>
      </c>
      <c r="D2151" t="s">
        <v>120</v>
      </c>
    </row>
    <row r="2152" spans="1:4" x14ac:dyDescent="0.3">
      <c r="A2152" t="s">
        <v>1239</v>
      </c>
      <c r="B2152">
        <v>100156</v>
      </c>
      <c r="C2152" t="s">
        <v>121</v>
      </c>
      <c r="D2152" t="s">
        <v>121</v>
      </c>
    </row>
    <row r="2153" spans="1:4" x14ac:dyDescent="0.3">
      <c r="A2153" t="s">
        <v>1239</v>
      </c>
      <c r="B2153">
        <v>100156</v>
      </c>
      <c r="C2153" t="s">
        <v>120</v>
      </c>
      <c r="D2153" t="s">
        <v>120</v>
      </c>
    </row>
    <row r="2154" spans="1:4" x14ac:dyDescent="0.3">
      <c r="A2154" t="s">
        <v>1240</v>
      </c>
      <c r="B2154">
        <v>100163</v>
      </c>
      <c r="C2154" t="s">
        <v>121</v>
      </c>
      <c r="D2154" t="s">
        <v>121</v>
      </c>
    </row>
    <row r="2155" spans="1:4" x14ac:dyDescent="0.3">
      <c r="A2155" t="s">
        <v>1240</v>
      </c>
      <c r="B2155">
        <v>100163</v>
      </c>
      <c r="C2155" t="s">
        <v>120</v>
      </c>
      <c r="D2155" t="s">
        <v>120</v>
      </c>
    </row>
    <row r="2156" spans="1:4" x14ac:dyDescent="0.3">
      <c r="A2156" t="s">
        <v>1240</v>
      </c>
      <c r="B2156">
        <v>100163</v>
      </c>
      <c r="C2156" t="s">
        <v>592</v>
      </c>
      <c r="D2156" t="s">
        <v>592</v>
      </c>
    </row>
    <row r="2157" spans="1:4" x14ac:dyDescent="0.3">
      <c r="A2157" t="s">
        <v>1241</v>
      </c>
      <c r="B2157">
        <v>100164</v>
      </c>
      <c r="C2157" t="s">
        <v>121</v>
      </c>
      <c r="D2157" t="s">
        <v>121</v>
      </c>
    </row>
    <row r="2158" spans="1:4" x14ac:dyDescent="0.3">
      <c r="A2158" t="s">
        <v>1241</v>
      </c>
      <c r="B2158">
        <v>100164</v>
      </c>
      <c r="C2158" t="s">
        <v>120</v>
      </c>
      <c r="D2158" t="s">
        <v>120</v>
      </c>
    </row>
    <row r="2159" spans="1:4" x14ac:dyDescent="0.3">
      <c r="A2159" t="s">
        <v>1241</v>
      </c>
      <c r="B2159">
        <v>100164</v>
      </c>
      <c r="C2159" t="s">
        <v>592</v>
      </c>
      <c r="D2159" t="s">
        <v>592</v>
      </c>
    </row>
    <row r="2160" spans="1:4" x14ac:dyDescent="0.3">
      <c r="A2160" t="s">
        <v>1242</v>
      </c>
      <c r="B2160">
        <v>100165</v>
      </c>
      <c r="C2160" t="s">
        <v>122</v>
      </c>
      <c r="D2160" t="s">
        <v>122</v>
      </c>
    </row>
    <row r="2161" spans="1:4" x14ac:dyDescent="0.3">
      <c r="A2161" t="s">
        <v>1242</v>
      </c>
      <c r="B2161">
        <v>100165</v>
      </c>
      <c r="C2161" t="s">
        <v>124</v>
      </c>
      <c r="D2161" t="s">
        <v>124</v>
      </c>
    </row>
    <row r="2162" spans="1:4" x14ac:dyDescent="0.3">
      <c r="A2162" t="s">
        <v>1242</v>
      </c>
      <c r="B2162">
        <v>100165</v>
      </c>
      <c r="C2162" t="s">
        <v>119</v>
      </c>
      <c r="D2162" t="s">
        <v>119</v>
      </c>
    </row>
    <row r="2163" spans="1:4" x14ac:dyDescent="0.3">
      <c r="A2163" t="s">
        <v>1242</v>
      </c>
      <c r="B2163">
        <v>100165</v>
      </c>
      <c r="C2163" t="s">
        <v>194</v>
      </c>
      <c r="D2163" t="s">
        <v>194</v>
      </c>
    </row>
    <row r="2164" spans="1:4" x14ac:dyDescent="0.3">
      <c r="A2164" t="s">
        <v>1243</v>
      </c>
      <c r="B2164">
        <v>100166</v>
      </c>
      <c r="C2164" t="s">
        <v>695</v>
      </c>
      <c r="D2164" t="s">
        <v>695</v>
      </c>
    </row>
    <row r="2165" spans="1:4" x14ac:dyDescent="0.3">
      <c r="A2165" t="s">
        <v>1243</v>
      </c>
      <c r="B2165">
        <v>100166</v>
      </c>
      <c r="C2165" t="s">
        <v>625</v>
      </c>
      <c r="D2165" t="s">
        <v>625</v>
      </c>
    </row>
    <row r="2166" spans="1:4" x14ac:dyDescent="0.3">
      <c r="A2166" t="s">
        <v>1243</v>
      </c>
      <c r="B2166">
        <v>100166</v>
      </c>
      <c r="C2166" t="s">
        <v>450</v>
      </c>
      <c r="D2166" t="s">
        <v>450</v>
      </c>
    </row>
    <row r="2167" spans="1:4" x14ac:dyDescent="0.3">
      <c r="A2167" t="s">
        <v>1243</v>
      </c>
      <c r="B2167">
        <v>100166</v>
      </c>
      <c r="C2167" t="s">
        <v>624</v>
      </c>
      <c r="D2167" t="s">
        <v>624</v>
      </c>
    </row>
    <row r="2168" spans="1:4" x14ac:dyDescent="0.3">
      <c r="A2168" t="s">
        <v>1243</v>
      </c>
      <c r="B2168">
        <v>100166</v>
      </c>
      <c r="C2168" t="s">
        <v>1244</v>
      </c>
      <c r="D2168" t="s">
        <v>1244</v>
      </c>
    </row>
    <row r="2169" spans="1:4" x14ac:dyDescent="0.3">
      <c r="A2169" t="s">
        <v>1243</v>
      </c>
      <c r="B2169">
        <v>100166</v>
      </c>
      <c r="C2169" t="s">
        <v>1245</v>
      </c>
      <c r="D2169" t="s">
        <v>1245</v>
      </c>
    </row>
    <row r="2170" spans="1:4" x14ac:dyDescent="0.3">
      <c r="A2170" t="s">
        <v>1246</v>
      </c>
      <c r="B2170">
        <v>100171</v>
      </c>
      <c r="C2170" t="s">
        <v>121</v>
      </c>
      <c r="D2170" t="s">
        <v>121</v>
      </c>
    </row>
    <row r="2171" spans="1:4" x14ac:dyDescent="0.3">
      <c r="A2171" t="s">
        <v>1246</v>
      </c>
      <c r="B2171">
        <v>100171</v>
      </c>
      <c r="C2171" t="s">
        <v>120</v>
      </c>
      <c r="D2171" t="s">
        <v>120</v>
      </c>
    </row>
    <row r="2172" spans="1:4" x14ac:dyDescent="0.3">
      <c r="A2172" t="s">
        <v>1247</v>
      </c>
      <c r="B2172">
        <v>100172</v>
      </c>
      <c r="C2172" t="s">
        <v>208</v>
      </c>
      <c r="D2172" t="s">
        <v>208</v>
      </c>
    </row>
    <row r="2173" spans="1:4" x14ac:dyDescent="0.3">
      <c r="A2173" t="s">
        <v>1247</v>
      </c>
      <c r="B2173">
        <v>100172</v>
      </c>
      <c r="C2173" t="s">
        <v>209</v>
      </c>
      <c r="D2173" t="s">
        <v>209</v>
      </c>
    </row>
    <row r="2174" spans="1:4" x14ac:dyDescent="0.3">
      <c r="A2174" t="s">
        <v>1247</v>
      </c>
      <c r="B2174">
        <v>100172</v>
      </c>
      <c r="C2174" t="s">
        <v>210</v>
      </c>
      <c r="D2174" t="s">
        <v>210</v>
      </c>
    </row>
    <row r="2175" spans="1:4" x14ac:dyDescent="0.3">
      <c r="A2175" t="s">
        <v>1247</v>
      </c>
      <c r="B2175">
        <v>100172</v>
      </c>
      <c r="C2175" t="s">
        <v>211</v>
      </c>
      <c r="D2175" t="s">
        <v>211</v>
      </c>
    </row>
    <row r="2176" spans="1:4" x14ac:dyDescent="0.3">
      <c r="A2176" t="s">
        <v>1247</v>
      </c>
      <c r="B2176">
        <v>100172</v>
      </c>
      <c r="C2176" t="s">
        <v>212</v>
      </c>
      <c r="D2176" t="s">
        <v>212</v>
      </c>
    </row>
    <row r="2177" spans="1:4" x14ac:dyDescent="0.3">
      <c r="A2177" t="s">
        <v>1247</v>
      </c>
      <c r="B2177">
        <v>100172</v>
      </c>
      <c r="C2177" t="s">
        <v>213</v>
      </c>
      <c r="D2177" t="s">
        <v>213</v>
      </c>
    </row>
    <row r="2178" spans="1:4" x14ac:dyDescent="0.3">
      <c r="A2178" t="s">
        <v>1247</v>
      </c>
      <c r="B2178">
        <v>100172</v>
      </c>
      <c r="C2178" t="s">
        <v>214</v>
      </c>
      <c r="D2178" t="s">
        <v>214</v>
      </c>
    </row>
    <row r="2179" spans="1:4" x14ac:dyDescent="0.3">
      <c r="A2179" t="s">
        <v>1247</v>
      </c>
      <c r="B2179">
        <v>100172</v>
      </c>
      <c r="C2179" t="s">
        <v>215</v>
      </c>
      <c r="D2179" t="s">
        <v>215</v>
      </c>
    </row>
    <row r="2180" spans="1:4" x14ac:dyDescent="0.3">
      <c r="A2180" t="s">
        <v>1247</v>
      </c>
      <c r="B2180">
        <v>100172</v>
      </c>
      <c r="C2180" t="s">
        <v>194</v>
      </c>
      <c r="D2180" t="s">
        <v>194</v>
      </c>
    </row>
    <row r="2181" spans="1:4" x14ac:dyDescent="0.3">
      <c r="A2181" t="s">
        <v>1248</v>
      </c>
      <c r="B2181">
        <v>100179</v>
      </c>
      <c r="C2181" t="s">
        <v>122</v>
      </c>
      <c r="D2181" t="s">
        <v>122</v>
      </c>
    </row>
    <row r="2182" spans="1:4" x14ac:dyDescent="0.3">
      <c r="A2182" t="s">
        <v>1248</v>
      </c>
      <c r="B2182">
        <v>100179</v>
      </c>
      <c r="C2182" t="s">
        <v>124</v>
      </c>
      <c r="D2182" t="s">
        <v>124</v>
      </c>
    </row>
    <row r="2183" spans="1:4" x14ac:dyDescent="0.3">
      <c r="A2183" t="s">
        <v>1248</v>
      </c>
      <c r="B2183">
        <v>100179</v>
      </c>
      <c r="C2183" t="s">
        <v>119</v>
      </c>
      <c r="D2183" t="s">
        <v>119</v>
      </c>
    </row>
    <row r="2184" spans="1:4" x14ac:dyDescent="0.3">
      <c r="A2184" t="s">
        <v>1248</v>
      </c>
      <c r="B2184">
        <v>100179</v>
      </c>
      <c r="C2184" t="s">
        <v>194</v>
      </c>
      <c r="D2184" t="s">
        <v>194</v>
      </c>
    </row>
    <row r="2185" spans="1:4" x14ac:dyDescent="0.3">
      <c r="A2185" t="s">
        <v>1248</v>
      </c>
      <c r="B2185">
        <v>100179</v>
      </c>
      <c r="C2185" t="s">
        <v>123</v>
      </c>
      <c r="D2185" t="s">
        <v>123</v>
      </c>
    </row>
    <row r="2186" spans="1:4" x14ac:dyDescent="0.3">
      <c r="A2186" t="s">
        <v>1249</v>
      </c>
      <c r="B2186">
        <v>100180</v>
      </c>
      <c r="C2186" t="s">
        <v>122</v>
      </c>
      <c r="D2186" t="s">
        <v>122</v>
      </c>
    </row>
    <row r="2187" spans="1:4" x14ac:dyDescent="0.3">
      <c r="A2187" t="s">
        <v>1249</v>
      </c>
      <c r="B2187">
        <v>100180</v>
      </c>
      <c r="C2187" t="s">
        <v>124</v>
      </c>
      <c r="D2187" t="s">
        <v>124</v>
      </c>
    </row>
    <row r="2188" spans="1:4" x14ac:dyDescent="0.3">
      <c r="A2188" t="s">
        <v>1249</v>
      </c>
      <c r="B2188">
        <v>100180</v>
      </c>
      <c r="C2188" t="s">
        <v>119</v>
      </c>
      <c r="D2188" t="s">
        <v>119</v>
      </c>
    </row>
    <row r="2189" spans="1:4" x14ac:dyDescent="0.3">
      <c r="A2189" t="s">
        <v>1249</v>
      </c>
      <c r="B2189">
        <v>100180</v>
      </c>
      <c r="C2189" t="s">
        <v>123</v>
      </c>
      <c r="D2189" t="s">
        <v>123</v>
      </c>
    </row>
    <row r="2190" spans="1:4" x14ac:dyDescent="0.3">
      <c r="A2190" t="s">
        <v>1250</v>
      </c>
      <c r="B2190">
        <v>100183</v>
      </c>
      <c r="C2190" t="s">
        <v>122</v>
      </c>
      <c r="D2190" t="s">
        <v>122</v>
      </c>
    </row>
    <row r="2191" spans="1:4" x14ac:dyDescent="0.3">
      <c r="A2191" t="s">
        <v>1250</v>
      </c>
      <c r="B2191">
        <v>100183</v>
      </c>
      <c r="C2191" t="s">
        <v>124</v>
      </c>
      <c r="D2191" t="s">
        <v>124</v>
      </c>
    </row>
    <row r="2192" spans="1:4" x14ac:dyDescent="0.3">
      <c r="A2192" t="s">
        <v>1250</v>
      </c>
      <c r="B2192">
        <v>100183</v>
      </c>
      <c r="C2192" t="s">
        <v>119</v>
      </c>
      <c r="D2192" t="s">
        <v>119</v>
      </c>
    </row>
    <row r="2193" spans="1:4" x14ac:dyDescent="0.3">
      <c r="A2193" t="s">
        <v>1250</v>
      </c>
      <c r="B2193">
        <v>100183</v>
      </c>
      <c r="C2193" t="s">
        <v>1251</v>
      </c>
      <c r="D2193" t="s">
        <v>1251</v>
      </c>
    </row>
    <row r="2194" spans="1:4" x14ac:dyDescent="0.3">
      <c r="A2194" t="s">
        <v>1250</v>
      </c>
      <c r="B2194">
        <v>100183</v>
      </c>
      <c r="C2194" t="s">
        <v>1252</v>
      </c>
      <c r="D2194" t="s">
        <v>1252</v>
      </c>
    </row>
    <row r="2195" spans="1:4" x14ac:dyDescent="0.3">
      <c r="A2195" t="s">
        <v>1250</v>
      </c>
      <c r="B2195">
        <v>100183</v>
      </c>
      <c r="C2195" t="s">
        <v>123</v>
      </c>
      <c r="D2195" t="s">
        <v>123</v>
      </c>
    </row>
    <row r="2196" spans="1:4" x14ac:dyDescent="0.3">
      <c r="A2196" t="s">
        <v>1253</v>
      </c>
      <c r="B2196">
        <v>100764</v>
      </c>
      <c r="C2196" t="s">
        <v>121</v>
      </c>
      <c r="D2196" t="s">
        <v>121</v>
      </c>
    </row>
    <row r="2197" spans="1:4" x14ac:dyDescent="0.3">
      <c r="A2197" t="s">
        <v>1253</v>
      </c>
      <c r="B2197">
        <v>100764</v>
      </c>
      <c r="C2197" t="s">
        <v>120</v>
      </c>
      <c r="D2197" t="s">
        <v>120</v>
      </c>
    </row>
    <row r="2198" spans="1:4" x14ac:dyDescent="0.3">
      <c r="A2198" t="s">
        <v>1254</v>
      </c>
      <c r="B2198">
        <v>100765</v>
      </c>
      <c r="C2198" t="s">
        <v>121</v>
      </c>
      <c r="D2198" t="s">
        <v>121</v>
      </c>
    </row>
    <row r="2199" spans="1:4" x14ac:dyDescent="0.3">
      <c r="A2199" t="s">
        <v>1254</v>
      </c>
      <c r="B2199">
        <v>100765</v>
      </c>
      <c r="C2199" t="s">
        <v>120</v>
      </c>
      <c r="D2199" t="s">
        <v>120</v>
      </c>
    </row>
    <row r="2200" spans="1:4" x14ac:dyDescent="0.3">
      <c r="A2200" t="s">
        <v>1255</v>
      </c>
      <c r="B2200">
        <v>100766</v>
      </c>
      <c r="C2200" t="s">
        <v>121</v>
      </c>
      <c r="D2200" t="s">
        <v>121</v>
      </c>
    </row>
    <row r="2201" spans="1:4" x14ac:dyDescent="0.3">
      <c r="A2201" t="s">
        <v>1255</v>
      </c>
      <c r="B2201">
        <v>100766</v>
      </c>
      <c r="C2201" t="s">
        <v>120</v>
      </c>
      <c r="D2201" t="s">
        <v>120</v>
      </c>
    </row>
    <row r="2202" spans="1:4" x14ac:dyDescent="0.3">
      <c r="A2202" t="s">
        <v>1256</v>
      </c>
      <c r="B2202">
        <v>100767</v>
      </c>
      <c r="C2202" t="s">
        <v>121</v>
      </c>
      <c r="D2202" t="s">
        <v>121</v>
      </c>
    </row>
    <row r="2203" spans="1:4" x14ac:dyDescent="0.3">
      <c r="A2203" t="s">
        <v>1256</v>
      </c>
      <c r="B2203">
        <v>100767</v>
      </c>
      <c r="C2203" t="s">
        <v>120</v>
      </c>
      <c r="D2203" t="s">
        <v>120</v>
      </c>
    </row>
    <row r="2204" spans="1:4" x14ac:dyDescent="0.3">
      <c r="A2204" t="s">
        <v>1257</v>
      </c>
      <c r="B2204">
        <v>100768</v>
      </c>
      <c r="C2204" t="s">
        <v>121</v>
      </c>
      <c r="D2204" t="s">
        <v>121</v>
      </c>
    </row>
    <row r="2205" spans="1:4" x14ac:dyDescent="0.3">
      <c r="A2205" t="s">
        <v>1257</v>
      </c>
      <c r="B2205">
        <v>100768</v>
      </c>
      <c r="C2205" t="s">
        <v>120</v>
      </c>
      <c r="D2205" t="s">
        <v>120</v>
      </c>
    </row>
    <row r="2206" spans="1:4" x14ac:dyDescent="0.3">
      <c r="A2206" t="s">
        <v>1258</v>
      </c>
      <c r="B2206">
        <v>100769</v>
      </c>
      <c r="C2206" t="s">
        <v>121</v>
      </c>
      <c r="D2206" t="s">
        <v>121</v>
      </c>
    </row>
    <row r="2207" spans="1:4" x14ac:dyDescent="0.3">
      <c r="A2207" t="s">
        <v>1258</v>
      </c>
      <c r="B2207">
        <v>100769</v>
      </c>
      <c r="C2207" t="s">
        <v>120</v>
      </c>
      <c r="D2207" t="s">
        <v>120</v>
      </c>
    </row>
    <row r="2208" spans="1:4" x14ac:dyDescent="0.3">
      <c r="A2208" t="s">
        <v>1259</v>
      </c>
      <c r="B2208">
        <v>100770</v>
      </c>
      <c r="C2208" t="s">
        <v>121</v>
      </c>
      <c r="D2208" t="s">
        <v>121</v>
      </c>
    </row>
    <row r="2209" spans="1:4" x14ac:dyDescent="0.3">
      <c r="A2209" t="s">
        <v>1259</v>
      </c>
      <c r="B2209">
        <v>100770</v>
      </c>
      <c r="C2209" t="s">
        <v>120</v>
      </c>
      <c r="D2209" t="s">
        <v>120</v>
      </c>
    </row>
    <row r="2210" spans="1:4" x14ac:dyDescent="0.3">
      <c r="A2210" t="s">
        <v>1260</v>
      </c>
      <c r="B2210">
        <v>100771</v>
      </c>
      <c r="C2210" t="s">
        <v>121</v>
      </c>
      <c r="D2210" t="s">
        <v>121</v>
      </c>
    </row>
    <row r="2211" spans="1:4" x14ac:dyDescent="0.3">
      <c r="A2211" t="s">
        <v>1260</v>
      </c>
      <c r="B2211">
        <v>100771</v>
      </c>
      <c r="C2211" t="s">
        <v>120</v>
      </c>
      <c r="D2211" t="s">
        <v>120</v>
      </c>
    </row>
    <row r="2212" spans="1:4" x14ac:dyDescent="0.3">
      <c r="A2212" t="s">
        <v>1261</v>
      </c>
      <c r="B2212">
        <v>100772</v>
      </c>
      <c r="C2212" t="s">
        <v>121</v>
      </c>
      <c r="D2212" t="s">
        <v>121</v>
      </c>
    </row>
    <row r="2213" spans="1:4" x14ac:dyDescent="0.3">
      <c r="A2213" t="s">
        <v>1261</v>
      </c>
      <c r="B2213">
        <v>100772</v>
      </c>
      <c r="C2213" t="s">
        <v>120</v>
      </c>
      <c r="D2213" t="s">
        <v>120</v>
      </c>
    </row>
    <row r="2214" spans="1:4" x14ac:dyDescent="0.3">
      <c r="A2214" t="s">
        <v>1262</v>
      </c>
      <c r="B2214">
        <v>100773</v>
      </c>
      <c r="C2214" t="s">
        <v>121</v>
      </c>
      <c r="D2214" t="s">
        <v>121</v>
      </c>
    </row>
    <row r="2215" spans="1:4" x14ac:dyDescent="0.3">
      <c r="A2215" t="s">
        <v>1262</v>
      </c>
      <c r="B2215">
        <v>100773</v>
      </c>
      <c r="C2215" t="s">
        <v>120</v>
      </c>
      <c r="D2215" t="s">
        <v>120</v>
      </c>
    </row>
    <row r="2216" spans="1:4" x14ac:dyDescent="0.3">
      <c r="A2216" t="s">
        <v>1263</v>
      </c>
      <c r="B2216">
        <v>100774</v>
      </c>
      <c r="C2216" t="s">
        <v>121</v>
      </c>
      <c r="D2216" t="s">
        <v>121</v>
      </c>
    </row>
    <row r="2217" spans="1:4" x14ac:dyDescent="0.3">
      <c r="A2217" t="s">
        <v>1263</v>
      </c>
      <c r="B2217">
        <v>100774</v>
      </c>
      <c r="C2217" t="s">
        <v>120</v>
      </c>
      <c r="D2217" t="s">
        <v>120</v>
      </c>
    </row>
    <row r="2218" spans="1:4" x14ac:dyDescent="0.3">
      <c r="A2218" t="s">
        <v>1264</v>
      </c>
      <c r="B2218">
        <v>100775</v>
      </c>
      <c r="C2218" t="s">
        <v>121</v>
      </c>
      <c r="D2218" t="s">
        <v>121</v>
      </c>
    </row>
    <row r="2219" spans="1:4" x14ac:dyDescent="0.3">
      <c r="A2219" t="s">
        <v>1264</v>
      </c>
      <c r="B2219">
        <v>100775</v>
      </c>
      <c r="C2219" t="s">
        <v>120</v>
      </c>
      <c r="D2219" t="s">
        <v>120</v>
      </c>
    </row>
    <row r="2220" spans="1:4" x14ac:dyDescent="0.3">
      <c r="A2220" t="s">
        <v>1265</v>
      </c>
      <c r="B2220">
        <v>100776</v>
      </c>
      <c r="C2220" t="s">
        <v>121</v>
      </c>
      <c r="D2220" t="s">
        <v>121</v>
      </c>
    </row>
    <row r="2221" spans="1:4" x14ac:dyDescent="0.3">
      <c r="A2221" t="s">
        <v>1265</v>
      </c>
      <c r="B2221">
        <v>100776</v>
      </c>
      <c r="C2221" t="s">
        <v>120</v>
      </c>
      <c r="D2221" t="s">
        <v>120</v>
      </c>
    </row>
    <row r="2222" spans="1:4" x14ac:dyDescent="0.3">
      <c r="A2222" t="s">
        <v>1266</v>
      </c>
      <c r="B2222">
        <v>100777</v>
      </c>
      <c r="C2222" t="s">
        <v>121</v>
      </c>
      <c r="D2222" t="s">
        <v>121</v>
      </c>
    </row>
    <row r="2223" spans="1:4" x14ac:dyDescent="0.3">
      <c r="A2223" t="s">
        <v>1266</v>
      </c>
      <c r="B2223">
        <v>100777</v>
      </c>
      <c r="C2223" t="s">
        <v>120</v>
      </c>
      <c r="D2223" t="s">
        <v>120</v>
      </c>
    </row>
    <row r="2224" spans="1:4" x14ac:dyDescent="0.3">
      <c r="A2224" t="s">
        <v>1267</v>
      </c>
      <c r="B2224">
        <v>100778</v>
      </c>
      <c r="C2224" t="s">
        <v>121</v>
      </c>
      <c r="D2224" t="s">
        <v>121</v>
      </c>
    </row>
    <row r="2225" spans="1:4" x14ac:dyDescent="0.3">
      <c r="A2225" t="s">
        <v>1267</v>
      </c>
      <c r="B2225">
        <v>100778</v>
      </c>
      <c r="C2225" t="s">
        <v>120</v>
      </c>
      <c r="D2225" t="s">
        <v>120</v>
      </c>
    </row>
    <row r="2226" spans="1:4" x14ac:dyDescent="0.3">
      <c r="A2226" t="s">
        <v>1268</v>
      </c>
      <c r="B2226">
        <v>100779</v>
      </c>
      <c r="C2226" t="s">
        <v>121</v>
      </c>
      <c r="D2226" t="s">
        <v>121</v>
      </c>
    </row>
    <row r="2227" spans="1:4" x14ac:dyDescent="0.3">
      <c r="A2227" t="s">
        <v>1268</v>
      </c>
      <c r="B2227">
        <v>100779</v>
      </c>
      <c r="C2227" t="s">
        <v>120</v>
      </c>
      <c r="D2227" t="s">
        <v>120</v>
      </c>
    </row>
    <row r="2228" spans="1:4" x14ac:dyDescent="0.3">
      <c r="A2228" t="s">
        <v>1269</v>
      </c>
      <c r="B2228">
        <v>100780</v>
      </c>
      <c r="C2228" t="s">
        <v>121</v>
      </c>
      <c r="D2228" t="s">
        <v>121</v>
      </c>
    </row>
    <row r="2229" spans="1:4" x14ac:dyDescent="0.3">
      <c r="A2229" t="s">
        <v>1269</v>
      </c>
      <c r="B2229">
        <v>100780</v>
      </c>
      <c r="C2229" t="s">
        <v>120</v>
      </c>
      <c r="D2229" t="s">
        <v>120</v>
      </c>
    </row>
    <row r="2230" spans="1:4" x14ac:dyDescent="0.3">
      <c r="A2230" t="s">
        <v>1270</v>
      </c>
      <c r="B2230">
        <v>100781</v>
      </c>
      <c r="C2230" t="s">
        <v>121</v>
      </c>
      <c r="D2230" t="s">
        <v>121</v>
      </c>
    </row>
    <row r="2231" spans="1:4" x14ac:dyDescent="0.3">
      <c r="A2231" t="s">
        <v>1270</v>
      </c>
      <c r="B2231">
        <v>100781</v>
      </c>
      <c r="C2231" t="s">
        <v>120</v>
      </c>
      <c r="D2231" t="s">
        <v>120</v>
      </c>
    </row>
    <row r="2232" spans="1:4" x14ac:dyDescent="0.3">
      <c r="A2232" t="s">
        <v>1271</v>
      </c>
      <c r="B2232">
        <v>100801</v>
      </c>
      <c r="C2232" t="s">
        <v>122</v>
      </c>
      <c r="D2232" t="s">
        <v>122</v>
      </c>
    </row>
    <row r="2233" spans="1:4" x14ac:dyDescent="0.3">
      <c r="A2233" t="s">
        <v>1271</v>
      </c>
      <c r="B2233">
        <v>100801</v>
      </c>
      <c r="C2233" t="s">
        <v>124</v>
      </c>
      <c r="D2233" t="s">
        <v>124</v>
      </c>
    </row>
    <row r="2234" spans="1:4" x14ac:dyDescent="0.3">
      <c r="A2234" t="s">
        <v>1271</v>
      </c>
      <c r="B2234">
        <v>100801</v>
      </c>
      <c r="C2234" t="s">
        <v>119</v>
      </c>
      <c r="D2234" t="s">
        <v>119</v>
      </c>
    </row>
    <row r="2235" spans="1:4" x14ac:dyDescent="0.3">
      <c r="A2235" t="s">
        <v>1271</v>
      </c>
      <c r="B2235">
        <v>100801</v>
      </c>
      <c r="C2235" t="s">
        <v>1272</v>
      </c>
      <c r="D2235" t="s">
        <v>1272</v>
      </c>
    </row>
    <row r="2236" spans="1:4" x14ac:dyDescent="0.3">
      <c r="A2236" t="s">
        <v>1273</v>
      </c>
      <c r="B2236">
        <v>100376</v>
      </c>
      <c r="C2236" t="s">
        <v>121</v>
      </c>
      <c r="D2236" t="s">
        <v>121</v>
      </c>
    </row>
    <row r="2237" spans="1:4" x14ac:dyDescent="0.3">
      <c r="A2237" t="s">
        <v>1273</v>
      </c>
      <c r="B2237">
        <v>100376</v>
      </c>
      <c r="C2237" t="s">
        <v>120</v>
      </c>
      <c r="D2237" t="s">
        <v>120</v>
      </c>
    </row>
    <row r="2238" spans="1:4" x14ac:dyDescent="0.3">
      <c r="A2238" t="s">
        <v>1274</v>
      </c>
      <c r="B2238">
        <v>100377</v>
      </c>
      <c r="C2238" t="s">
        <v>121</v>
      </c>
      <c r="D2238" t="s">
        <v>121</v>
      </c>
    </row>
    <row r="2239" spans="1:4" x14ac:dyDescent="0.3">
      <c r="A2239" t="s">
        <v>1274</v>
      </c>
      <c r="B2239">
        <v>100377</v>
      </c>
      <c r="C2239" t="s">
        <v>120</v>
      </c>
      <c r="D2239" t="s">
        <v>120</v>
      </c>
    </row>
    <row r="2240" spans="1:4" x14ac:dyDescent="0.3">
      <c r="A2240" t="s">
        <v>1275</v>
      </c>
      <c r="B2240">
        <v>100378</v>
      </c>
      <c r="C2240" t="s">
        <v>121</v>
      </c>
      <c r="D2240" t="s">
        <v>121</v>
      </c>
    </row>
    <row r="2241" spans="1:4" x14ac:dyDescent="0.3">
      <c r="A2241" t="s">
        <v>1275</v>
      </c>
      <c r="B2241">
        <v>100378</v>
      </c>
      <c r="C2241" t="s">
        <v>120</v>
      </c>
      <c r="D2241" t="s">
        <v>120</v>
      </c>
    </row>
    <row r="2242" spans="1:4" x14ac:dyDescent="0.3">
      <c r="A2242" t="s">
        <v>1276</v>
      </c>
      <c r="B2242">
        <v>100830</v>
      </c>
      <c r="C2242" t="s">
        <v>1277</v>
      </c>
      <c r="D2242" t="s">
        <v>1277</v>
      </c>
    </row>
    <row r="2243" spans="1:4" x14ac:dyDescent="0.3">
      <c r="A2243" t="s">
        <v>1276</v>
      </c>
      <c r="B2243">
        <v>100830</v>
      </c>
      <c r="C2243" t="s">
        <v>1278</v>
      </c>
      <c r="D2243" t="s">
        <v>1278</v>
      </c>
    </row>
    <row r="2244" spans="1:4" x14ac:dyDescent="0.3">
      <c r="A2244" t="s">
        <v>1276</v>
      </c>
      <c r="B2244">
        <v>100830</v>
      </c>
      <c r="C2244" t="s">
        <v>1279</v>
      </c>
      <c r="D2244" t="s">
        <v>1279</v>
      </c>
    </row>
    <row r="2245" spans="1:4" x14ac:dyDescent="0.3">
      <c r="A2245" t="s">
        <v>1276</v>
      </c>
      <c r="B2245">
        <v>100830</v>
      </c>
      <c r="C2245" t="s">
        <v>1280</v>
      </c>
      <c r="D2245" t="s">
        <v>1280</v>
      </c>
    </row>
    <row r="2246" spans="1:4" x14ac:dyDescent="0.3">
      <c r="A2246" t="s">
        <v>1276</v>
      </c>
      <c r="B2246">
        <v>100830</v>
      </c>
      <c r="C2246" t="s">
        <v>1281</v>
      </c>
      <c r="D2246" t="s">
        <v>1281</v>
      </c>
    </row>
    <row r="2247" spans="1:4" x14ac:dyDescent="0.3">
      <c r="A2247" t="s">
        <v>1276</v>
      </c>
      <c r="B2247">
        <v>100830</v>
      </c>
      <c r="C2247" t="s">
        <v>1282</v>
      </c>
      <c r="D2247" t="s">
        <v>1282</v>
      </c>
    </row>
    <row r="2248" spans="1:4" x14ac:dyDescent="0.3">
      <c r="A2248" t="s">
        <v>1276</v>
      </c>
      <c r="B2248">
        <v>100830</v>
      </c>
      <c r="C2248" t="s">
        <v>152</v>
      </c>
      <c r="D2248" t="s">
        <v>152</v>
      </c>
    </row>
    <row r="2249" spans="1:4" x14ac:dyDescent="0.3">
      <c r="A2249" t="s">
        <v>137</v>
      </c>
      <c r="B2249">
        <v>100833</v>
      </c>
      <c r="C2249" t="s">
        <v>121</v>
      </c>
      <c r="D2249" t="s">
        <v>121</v>
      </c>
    </row>
    <row r="2250" spans="1:4" x14ac:dyDescent="0.3">
      <c r="A2250" t="s">
        <v>137</v>
      </c>
      <c r="B2250">
        <v>100833</v>
      </c>
      <c r="C2250" t="s">
        <v>120</v>
      </c>
      <c r="D2250" t="s">
        <v>120</v>
      </c>
    </row>
    <row r="2251" spans="1:4" x14ac:dyDescent="0.3">
      <c r="A2251" t="s">
        <v>1283</v>
      </c>
      <c r="B2251">
        <v>100839</v>
      </c>
      <c r="C2251" t="s">
        <v>1284</v>
      </c>
      <c r="D2251" t="s">
        <v>1284</v>
      </c>
    </row>
    <row r="2252" spans="1:4" x14ac:dyDescent="0.3">
      <c r="A2252" t="s">
        <v>1283</v>
      </c>
      <c r="B2252">
        <v>100839</v>
      </c>
      <c r="C2252" t="s">
        <v>1285</v>
      </c>
      <c r="D2252" t="s">
        <v>1285</v>
      </c>
    </row>
    <row r="2253" spans="1:4" x14ac:dyDescent="0.3">
      <c r="A2253" t="s">
        <v>1283</v>
      </c>
      <c r="B2253">
        <v>100839</v>
      </c>
      <c r="C2253" t="s">
        <v>1286</v>
      </c>
      <c r="D2253" t="s">
        <v>1286</v>
      </c>
    </row>
    <row r="2254" spans="1:4" x14ac:dyDescent="0.3">
      <c r="A2254" t="s">
        <v>1283</v>
      </c>
      <c r="B2254">
        <v>100839</v>
      </c>
      <c r="C2254" t="s">
        <v>1287</v>
      </c>
      <c r="D2254" t="s">
        <v>1287</v>
      </c>
    </row>
    <row r="2255" spans="1:4" x14ac:dyDescent="0.3">
      <c r="A2255" t="s">
        <v>1283</v>
      </c>
      <c r="B2255">
        <v>100839</v>
      </c>
      <c r="C2255" t="s">
        <v>1288</v>
      </c>
      <c r="D2255" t="s">
        <v>1288</v>
      </c>
    </row>
    <row r="2256" spans="1:4" x14ac:dyDescent="0.3">
      <c r="A2256" t="s">
        <v>1283</v>
      </c>
      <c r="B2256">
        <v>100839</v>
      </c>
      <c r="C2256" t="s">
        <v>1289</v>
      </c>
      <c r="D2256" t="s">
        <v>1289</v>
      </c>
    </row>
    <row r="2257" spans="1:4" x14ac:dyDescent="0.3">
      <c r="A2257" t="s">
        <v>1290</v>
      </c>
      <c r="B2257">
        <v>100187</v>
      </c>
      <c r="C2257" t="s">
        <v>1291</v>
      </c>
      <c r="D2257" t="s">
        <v>1291</v>
      </c>
    </row>
    <row r="2258" spans="1:4" x14ac:dyDescent="0.3">
      <c r="A2258" t="s">
        <v>1292</v>
      </c>
      <c r="B2258">
        <v>100186</v>
      </c>
      <c r="C2258" t="s">
        <v>1291</v>
      </c>
      <c r="D2258" t="s">
        <v>1291</v>
      </c>
    </row>
    <row r="2259" spans="1:4" x14ac:dyDescent="0.3">
      <c r="A2259" t="s">
        <v>1290</v>
      </c>
      <c r="B2259">
        <v>100187</v>
      </c>
      <c r="C2259" t="s">
        <v>1293</v>
      </c>
      <c r="D2259" t="s">
        <v>1293</v>
      </c>
    </row>
    <row r="2260" spans="1:4" x14ac:dyDescent="0.3">
      <c r="A2260" t="s">
        <v>1292</v>
      </c>
      <c r="B2260">
        <v>100186</v>
      </c>
      <c r="C2260" t="s">
        <v>1293</v>
      </c>
      <c r="D2260" t="s">
        <v>1293</v>
      </c>
    </row>
    <row r="2261" spans="1:4" x14ac:dyDescent="0.3">
      <c r="A2261" t="s">
        <v>1290</v>
      </c>
      <c r="B2261">
        <v>100187</v>
      </c>
      <c r="C2261" t="s">
        <v>1294</v>
      </c>
      <c r="D2261" t="s">
        <v>1294</v>
      </c>
    </row>
    <row r="2262" spans="1:4" x14ac:dyDescent="0.3">
      <c r="A2262" t="s">
        <v>1292</v>
      </c>
      <c r="B2262">
        <v>100186</v>
      </c>
      <c r="C2262" t="s">
        <v>1294</v>
      </c>
      <c r="D2262" t="s">
        <v>1294</v>
      </c>
    </row>
    <row r="2263" spans="1:4" x14ac:dyDescent="0.3">
      <c r="A2263" t="s">
        <v>1290</v>
      </c>
      <c r="B2263">
        <v>100187</v>
      </c>
      <c r="C2263" t="s">
        <v>1295</v>
      </c>
      <c r="D2263" t="s">
        <v>1295</v>
      </c>
    </row>
    <row r="2264" spans="1:4" x14ac:dyDescent="0.3">
      <c r="A2264" t="s">
        <v>1292</v>
      </c>
      <c r="B2264">
        <v>100186</v>
      </c>
      <c r="C2264" t="s">
        <v>1295</v>
      </c>
      <c r="D2264" t="s">
        <v>1295</v>
      </c>
    </row>
    <row r="2265" spans="1:4" x14ac:dyDescent="0.3">
      <c r="A2265" t="s">
        <v>1290</v>
      </c>
      <c r="B2265">
        <v>100187</v>
      </c>
      <c r="C2265" t="s">
        <v>1296</v>
      </c>
      <c r="D2265" t="s">
        <v>1296</v>
      </c>
    </row>
    <row r="2266" spans="1:4" x14ac:dyDescent="0.3">
      <c r="A2266" t="s">
        <v>1292</v>
      </c>
      <c r="B2266">
        <v>100186</v>
      </c>
      <c r="C2266" t="s">
        <v>1296</v>
      </c>
      <c r="D2266" t="s">
        <v>1296</v>
      </c>
    </row>
    <row r="2267" spans="1:4" x14ac:dyDescent="0.3">
      <c r="A2267" t="s">
        <v>1297</v>
      </c>
      <c r="B2267">
        <v>100016</v>
      </c>
      <c r="C2267" t="s">
        <v>122</v>
      </c>
      <c r="D2267" t="s">
        <v>122</v>
      </c>
    </row>
    <row r="2268" spans="1:4" x14ac:dyDescent="0.3">
      <c r="A2268" t="s">
        <v>1297</v>
      </c>
      <c r="B2268">
        <v>100016</v>
      </c>
      <c r="C2268" t="s">
        <v>124</v>
      </c>
      <c r="D2268" t="s">
        <v>124</v>
      </c>
    </row>
    <row r="2269" spans="1:4" x14ac:dyDescent="0.3">
      <c r="A2269" t="s">
        <v>1297</v>
      </c>
      <c r="B2269">
        <v>100016</v>
      </c>
      <c r="C2269" t="s">
        <v>119</v>
      </c>
      <c r="D2269" t="s">
        <v>119</v>
      </c>
    </row>
    <row r="2270" spans="1:4" x14ac:dyDescent="0.3">
      <c r="A2270" t="s">
        <v>1297</v>
      </c>
      <c r="B2270">
        <v>100016</v>
      </c>
      <c r="C2270" t="s">
        <v>123</v>
      </c>
      <c r="D2270" t="s">
        <v>123</v>
      </c>
    </row>
    <row r="2271" spans="1:4" x14ac:dyDescent="0.3">
      <c r="A2271" t="s">
        <v>1297</v>
      </c>
      <c r="B2271">
        <v>100016</v>
      </c>
      <c r="C2271" t="s">
        <v>203</v>
      </c>
      <c r="D2271" t="s">
        <v>203</v>
      </c>
    </row>
    <row r="2272" spans="1:4" x14ac:dyDescent="0.3">
      <c r="A2272" t="s">
        <v>140</v>
      </c>
      <c r="B2272">
        <v>100406</v>
      </c>
      <c r="C2272" t="s">
        <v>1298</v>
      </c>
      <c r="D2272" t="s">
        <v>1298</v>
      </c>
    </row>
    <row r="2273" spans="1:4" x14ac:dyDescent="0.3">
      <c r="A2273" t="s">
        <v>140</v>
      </c>
      <c r="B2273">
        <v>100406</v>
      </c>
      <c r="C2273" t="s">
        <v>1299</v>
      </c>
      <c r="D2273" t="s">
        <v>1299</v>
      </c>
    </row>
    <row r="2274" spans="1:4" x14ac:dyDescent="0.3">
      <c r="A2274" t="s">
        <v>140</v>
      </c>
      <c r="B2274">
        <v>100406</v>
      </c>
      <c r="C2274" t="s">
        <v>1300</v>
      </c>
      <c r="D2274" t="s">
        <v>1300</v>
      </c>
    </row>
    <row r="2275" spans="1:4" x14ac:dyDescent="0.3">
      <c r="A2275" t="s">
        <v>140</v>
      </c>
      <c r="B2275">
        <v>100406</v>
      </c>
      <c r="C2275" t="s">
        <v>152</v>
      </c>
      <c r="D2275" t="s">
        <v>152</v>
      </c>
    </row>
    <row r="2276" spans="1:4" x14ac:dyDescent="0.3">
      <c r="A2276" t="s">
        <v>141</v>
      </c>
      <c r="B2276">
        <v>100407</v>
      </c>
      <c r="C2276" t="s">
        <v>1301</v>
      </c>
      <c r="D2276" t="s">
        <v>1301</v>
      </c>
    </row>
    <row r="2277" spans="1:4" x14ac:dyDescent="0.3">
      <c r="A2277" t="s">
        <v>141</v>
      </c>
      <c r="B2277">
        <v>100407</v>
      </c>
      <c r="C2277" t="s">
        <v>1302</v>
      </c>
      <c r="D2277" t="s">
        <v>1302</v>
      </c>
    </row>
    <row r="2278" spans="1:4" x14ac:dyDescent="0.3">
      <c r="A2278" t="s">
        <v>141</v>
      </c>
      <c r="B2278">
        <v>100407</v>
      </c>
      <c r="C2278" t="s">
        <v>1303</v>
      </c>
      <c r="D2278" t="s">
        <v>1303</v>
      </c>
    </row>
    <row r="2279" spans="1:4" x14ac:dyDescent="0.3">
      <c r="A2279" t="s">
        <v>141</v>
      </c>
      <c r="B2279">
        <v>100407</v>
      </c>
      <c r="C2279" t="s">
        <v>1304</v>
      </c>
      <c r="D2279" t="s">
        <v>1304</v>
      </c>
    </row>
    <row r="2280" spans="1:4" x14ac:dyDescent="0.3">
      <c r="A2280" t="s">
        <v>141</v>
      </c>
      <c r="B2280">
        <v>100407</v>
      </c>
      <c r="C2280" t="s">
        <v>152</v>
      </c>
      <c r="D2280" t="s">
        <v>152</v>
      </c>
    </row>
    <row r="2281" spans="1:4" x14ac:dyDescent="0.3">
      <c r="A2281" t="s">
        <v>85</v>
      </c>
      <c r="B2281">
        <v>100012</v>
      </c>
      <c r="C2281" t="s">
        <v>1305</v>
      </c>
      <c r="D2281" t="s">
        <v>1305</v>
      </c>
    </row>
    <row r="2282" spans="1:4" x14ac:dyDescent="0.3">
      <c r="A2282" t="s">
        <v>85</v>
      </c>
      <c r="B2282">
        <v>100012</v>
      </c>
      <c r="C2282" t="s">
        <v>1306</v>
      </c>
      <c r="D2282" t="s">
        <v>1306</v>
      </c>
    </row>
    <row r="2283" spans="1:4" x14ac:dyDescent="0.3">
      <c r="A2283" t="s">
        <v>85</v>
      </c>
      <c r="B2283">
        <v>100012</v>
      </c>
      <c r="C2283" t="s">
        <v>1307</v>
      </c>
      <c r="D2283" t="s">
        <v>1307</v>
      </c>
    </row>
    <row r="2284" spans="1:4" x14ac:dyDescent="0.3">
      <c r="A2284" t="s">
        <v>85</v>
      </c>
      <c r="B2284">
        <v>100012</v>
      </c>
      <c r="C2284" t="s">
        <v>1308</v>
      </c>
      <c r="D2284" t="s">
        <v>1308</v>
      </c>
    </row>
    <row r="2285" spans="1:4" x14ac:dyDescent="0.3">
      <c r="A2285" t="s">
        <v>85</v>
      </c>
      <c r="B2285">
        <v>100012</v>
      </c>
      <c r="C2285" t="s">
        <v>1309</v>
      </c>
      <c r="D2285" t="s">
        <v>1309</v>
      </c>
    </row>
    <row r="2286" spans="1:4" x14ac:dyDescent="0.3">
      <c r="A2286" t="s">
        <v>85</v>
      </c>
      <c r="B2286">
        <v>100012</v>
      </c>
      <c r="C2286" t="s">
        <v>1310</v>
      </c>
      <c r="D2286" t="s">
        <v>1310</v>
      </c>
    </row>
    <row r="2287" spans="1:4" x14ac:dyDescent="0.3">
      <c r="A2287" t="s">
        <v>85</v>
      </c>
      <c r="B2287">
        <v>100012</v>
      </c>
      <c r="C2287" t="s">
        <v>1311</v>
      </c>
      <c r="D2287" t="s">
        <v>1311</v>
      </c>
    </row>
    <row r="2288" spans="1:4" x14ac:dyDescent="0.3">
      <c r="A2288" t="s">
        <v>85</v>
      </c>
      <c r="B2288">
        <v>100012</v>
      </c>
      <c r="C2288" t="s">
        <v>1312</v>
      </c>
      <c r="D2288" t="s">
        <v>1312</v>
      </c>
    </row>
    <row r="2289" spans="1:4" x14ac:dyDescent="0.3">
      <c r="A2289" t="s">
        <v>85</v>
      </c>
      <c r="B2289">
        <v>100012</v>
      </c>
      <c r="C2289" t="s">
        <v>1313</v>
      </c>
      <c r="D2289" t="s">
        <v>1313</v>
      </c>
    </row>
    <row r="2290" spans="1:4" x14ac:dyDescent="0.3">
      <c r="A2290" t="s">
        <v>85</v>
      </c>
      <c r="B2290">
        <v>100012</v>
      </c>
      <c r="C2290" t="s">
        <v>1314</v>
      </c>
      <c r="D2290" t="s">
        <v>1314</v>
      </c>
    </row>
    <row r="2291" spans="1:4" x14ac:dyDescent="0.3">
      <c r="A2291" t="s">
        <v>1315</v>
      </c>
      <c r="B2291">
        <v>100014</v>
      </c>
      <c r="C2291" t="s">
        <v>1316</v>
      </c>
      <c r="D2291" t="s">
        <v>1316</v>
      </c>
    </row>
    <row r="2292" spans="1:4" x14ac:dyDescent="0.3">
      <c r="A2292" t="s">
        <v>1315</v>
      </c>
      <c r="B2292">
        <v>100014</v>
      </c>
      <c r="C2292" t="s">
        <v>1317</v>
      </c>
      <c r="D2292" t="s">
        <v>1317</v>
      </c>
    </row>
    <row r="2293" spans="1:4" x14ac:dyDescent="0.3">
      <c r="A2293" t="s">
        <v>1315</v>
      </c>
      <c r="B2293">
        <v>100014</v>
      </c>
      <c r="C2293" t="s">
        <v>1318</v>
      </c>
      <c r="D2293" t="s">
        <v>1318</v>
      </c>
    </row>
    <row r="2294" spans="1:4" x14ac:dyDescent="0.3">
      <c r="A2294" t="s">
        <v>1315</v>
      </c>
      <c r="B2294">
        <v>100014</v>
      </c>
      <c r="C2294" t="s">
        <v>1319</v>
      </c>
      <c r="D2294" t="s">
        <v>1319</v>
      </c>
    </row>
    <row r="2295" spans="1:4" x14ac:dyDescent="0.3">
      <c r="A2295" t="s">
        <v>1315</v>
      </c>
      <c r="B2295">
        <v>100014</v>
      </c>
      <c r="C2295" t="s">
        <v>1320</v>
      </c>
      <c r="D2295" t="s">
        <v>1320</v>
      </c>
    </row>
    <row r="2296" spans="1:4" x14ac:dyDescent="0.3">
      <c r="A2296" t="s">
        <v>1315</v>
      </c>
      <c r="B2296">
        <v>100014</v>
      </c>
      <c r="C2296" t="s">
        <v>166</v>
      </c>
      <c r="D2296" t="s">
        <v>166</v>
      </c>
    </row>
    <row r="2297" spans="1:4" x14ac:dyDescent="0.3">
      <c r="A2297" t="s">
        <v>1315</v>
      </c>
      <c r="B2297">
        <v>100014</v>
      </c>
      <c r="C2297" t="s">
        <v>219</v>
      </c>
      <c r="D2297" t="s">
        <v>219</v>
      </c>
    </row>
    <row r="2298" spans="1:4" x14ac:dyDescent="0.3">
      <c r="A2298" t="s">
        <v>1315</v>
      </c>
      <c r="B2298">
        <v>100014</v>
      </c>
      <c r="C2298" t="s">
        <v>152</v>
      </c>
      <c r="D2298" t="s">
        <v>152</v>
      </c>
    </row>
    <row r="2299" spans="1:4" x14ac:dyDescent="0.3">
      <c r="A2299" t="s">
        <v>1315</v>
      </c>
      <c r="B2299">
        <v>100014</v>
      </c>
      <c r="C2299" t="s">
        <v>1321</v>
      </c>
      <c r="D2299" t="s">
        <v>1321</v>
      </c>
    </row>
    <row r="2300" spans="1:4" x14ac:dyDescent="0.3">
      <c r="A2300" t="s">
        <v>1315</v>
      </c>
      <c r="B2300">
        <v>100014</v>
      </c>
      <c r="C2300" t="s">
        <v>1322</v>
      </c>
      <c r="D2300" t="s">
        <v>1322</v>
      </c>
    </row>
    <row r="2301" spans="1:4" x14ac:dyDescent="0.3">
      <c r="A2301" t="s">
        <v>1315</v>
      </c>
      <c r="B2301">
        <v>100014</v>
      </c>
      <c r="C2301" t="s">
        <v>1323</v>
      </c>
      <c r="D2301" t="s">
        <v>1323</v>
      </c>
    </row>
    <row r="2302" spans="1:4" x14ac:dyDescent="0.3">
      <c r="A2302" t="s">
        <v>1315</v>
      </c>
      <c r="B2302">
        <v>100014</v>
      </c>
      <c r="C2302" t="s">
        <v>155</v>
      </c>
      <c r="D2302" t="s">
        <v>155</v>
      </c>
    </row>
    <row r="2303" spans="1:4" x14ac:dyDescent="0.3">
      <c r="A2303" t="s">
        <v>85</v>
      </c>
      <c r="B2303">
        <v>100012</v>
      </c>
      <c r="C2303" t="s">
        <v>1324</v>
      </c>
      <c r="D2303" t="s">
        <v>1324</v>
      </c>
    </row>
  </sheetData>
  <autoFilter ref="A4:D2303"/>
  <pageMargins left="0.7" right="0.7" top="0.75" bottom="0.75" header="0.3" footer="0.3"/>
  <pageSetup orientation="portrait" horizontalDpi="4294967295" verticalDpi="4294967295" r:id="rId1"/>
  <headerFooter>
    <oddFooter>&amp;R&amp;1#&amp;"Calibri"&amp;10&amp;K0000FFClassification :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1025ee89-a1ef-4dcf-8a67-bdfe60321d9a">
      <Value>2</Value>
      <Value>1</Value>
    </TaxCatchAll>
    <ma0804c19ff247a6a43ef5bfde48fcfb xmlns="4144ee1e-1391-4e26-a698-d36c1b607dfd">
      <Terms xmlns="http://schemas.microsoft.com/office/infopath/2007/PartnerControls">
        <TermInfo xmlns="http://schemas.microsoft.com/office/infopath/2007/PartnerControls">
          <TermName xmlns="http://schemas.microsoft.com/office/infopath/2007/PartnerControls">Document</TermName>
          <TermId xmlns="http://schemas.microsoft.com/office/infopath/2007/PartnerControls">f926a2be-6740-4577-ba49-e4b230c74a1c</TermId>
        </TermInfo>
      </Terms>
    </ma0804c19ff247a6a43ef5bfde48fcfb>
    <m2945b1e41a346f6b58dec288b2d89fe xmlns="4144ee1e-1391-4e26-a698-d36c1b607dfd">
      <Terms xmlns="http://schemas.microsoft.com/office/infopath/2007/PartnerControls"/>
    </m2945b1e41a346f6b58dec288b2d89fe>
    <IconOverlay xmlns="http://schemas.microsoft.com/sharepoint/v4" xsi:nil="true"/>
    <PublishingExpirationDate xmlns="http://schemas.microsoft.com/sharepoint/v3" xsi:nil="true"/>
    <pddda2e5d5a7426094f7ee8c6258f199 xmlns="4144ee1e-1391-4e26-a698-d36c1b607dfd">
      <Terms xmlns="http://schemas.microsoft.com/office/infopath/2007/PartnerControls">
        <TermInfo xmlns="http://schemas.microsoft.com/office/infopath/2007/PartnerControls">
          <TermName xmlns="http://schemas.microsoft.com/office/infopath/2007/PartnerControls">10 - Interne</TermName>
          <TermId xmlns="http://schemas.microsoft.com/office/infopath/2007/PartnerControls">88571201-3d77-41d7-bf2a-abb247897d97</TermId>
        </TermInfo>
      </Terms>
    </pddda2e5d5a7426094f7ee8c6258f199>
    <PublishingStartDate xmlns="http://schemas.microsoft.com/sharepoint/v3" xsi:nil="true"/>
    <d14b51bacc7a476d8ec07ff7276856b9 xmlns="4144ee1e-1391-4e26-a698-d36c1b607dfd">
      <Terms xmlns="http://schemas.microsoft.com/office/infopath/2007/PartnerControls"/>
    </d14b51bacc7a476d8ec07ff7276856b9>
    <_dlc_DocId xmlns="1025ee89-a1ef-4dcf-8a67-bdfe60321d9a">EURO-INFO-740048576-6115</_dlc_DocId>
    <SHPO_RevisionDelay xmlns="4144ee1e-1391-4e26-a698-d36c1b607dfd">365</SHPO_RevisionDelay>
    <_dlc_DocIdUrl xmlns="1025ee89-a1ef-4dcf-8a67-bdfe60321d9a">
      <Url>https://moss-si.cm-cic.fr/sites/D00156/Documentation/_layouts/DocIdRedir.aspx?ID=EURO-INFO-740048576-6115</Url>
      <Description>EURO-INFO-740048576-6115</Description>
    </_dlc_DocIdUrl>
    <AverageRating xmlns="http://schemas.microsoft.com/sharepoint/v3"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68E49C3201AD8946B776DFA00350EA06" ma:contentTypeVersion="26" ma:contentTypeDescription="Crée un document." ma:contentTypeScope="" ma:versionID="6c98d481c004c9fdf48c17ef0f6aa8c9">
  <xsd:schema xmlns:xsd="http://www.w3.org/2001/XMLSchema" xmlns:xs="http://www.w3.org/2001/XMLSchema" xmlns:p="http://schemas.microsoft.com/office/2006/metadata/properties" xmlns:ns1="http://schemas.microsoft.com/sharepoint/v3" xmlns:ns2="1025ee89-a1ef-4dcf-8a67-bdfe60321d9a" xmlns:ns4="4144ee1e-1391-4e26-a698-d36c1b607dfd" xmlns:ns5="http://schemas.microsoft.com/sharepoint/v4" targetNamespace="http://schemas.microsoft.com/office/2006/metadata/properties" ma:root="true" ma:fieldsID="32ae536409463843e4037acc5bfd4624" ns1:_="" ns2:_="" ns4:_="" ns5:_="">
    <xsd:import namespace="http://schemas.microsoft.com/sharepoint/v3"/>
    <xsd:import namespace="1025ee89-a1ef-4dcf-8a67-bdfe60321d9a"/>
    <xsd:import namespace="4144ee1e-1391-4e26-a698-d36c1b607dfd"/>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1:AverageRating" minOccurs="0"/>
                <xsd:element ref="ns1:RatingCount" minOccurs="0"/>
                <xsd:element ref="ns1:PublishingStartDate" minOccurs="0"/>
                <xsd:element ref="ns1:PublishingExpirationDate" minOccurs="0"/>
                <xsd:element ref="ns4:SHPO_RevisionDelay" minOccurs="0"/>
                <xsd:element ref="ns4:ma0804c19ff247a6a43ef5bfde48fcfb" minOccurs="0"/>
                <xsd:element ref="ns2:TaxCatchAll" minOccurs="0"/>
                <xsd:element ref="ns4:d14b51bacc7a476d8ec07ff7276856b9" minOccurs="0"/>
                <xsd:element ref="ns4:pddda2e5d5a7426094f7ee8c6258f199" minOccurs="0"/>
                <xsd:element ref="ns4:m2945b1e41a346f6b58dec288b2d89fe" minOccurs="0"/>
                <xsd:element ref="ns5: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11" nillable="true" ma:displayName="Évaluation (0-5)" ma:decimals="2" ma:description="Valeur moyenne de toutes les évaluations envoyées" ma:indexed="true" ma:internalName="AverageRating" ma:readOnly="true">
      <xsd:simpleType>
        <xsd:restriction base="dms:Number"/>
      </xsd:simpleType>
    </xsd:element>
    <xsd:element name="RatingCount" ma:index="12" nillable="true" ma:displayName="Nombre d’évaluations" ma:decimals="0" ma:description="Nombre d’évaluations envoyées" ma:internalName="RatingCount" ma:readOnly="true">
      <xsd:simpleType>
        <xsd:restriction base="dms:Number"/>
      </xsd:simpleType>
    </xsd:element>
    <xsd:element name="PublishingStartDate" ma:index="13" nillable="true" ma:displayName="Date de début de planification" ma:internalName="PublishingStartDate">
      <xsd:simpleType>
        <xsd:restriction base="dms:Unknown"/>
      </xsd:simpleType>
    </xsd:element>
    <xsd:element name="PublishingExpirationDate" ma:index="14" nillable="true" ma:displayName="Date de fin de planification"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025ee89-a1ef-4dcf-8a67-bdfe60321d9a" elementFormDefault="qualified">
    <xsd:import namespace="http://schemas.microsoft.com/office/2006/documentManagement/types"/>
    <xsd:import namespace="http://schemas.microsoft.com/office/infopath/2007/PartnerControls"/>
    <xsd:element name="_dlc_DocId" ma:index="8" nillable="true" ma:displayName="Valeur d’ID de document" ma:description="Valeur de l’ID de document affecté à cet élément." ma:internalName="_dlc_DocId" ma:readOnly="true">
      <xsd:simpleType>
        <xsd:restriction base="dms:Text"/>
      </xsd:simpleType>
    </xsd:element>
    <xsd:element name="_dlc_DocIdUrl" ma:index="9" nillable="true" ma:displayName="ID de document" ma:description="Lien permanent vers ce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20" nillable="true" ma:displayName="Taxonomy Catch All Column" ma:hidden="true" ma:list="{bec50eec-6650-4ad9-8ebf-c62a4fc143df}" ma:internalName="TaxCatchAll" ma:showField="CatchAllData" ma:web="1025ee89-a1ef-4dcf-8a67-bdfe60321d9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144ee1e-1391-4e26-a698-d36c1b607dfd" elementFormDefault="qualified">
    <xsd:import namespace="http://schemas.microsoft.com/office/2006/documentManagement/types"/>
    <xsd:import namespace="http://schemas.microsoft.com/office/infopath/2007/PartnerControls"/>
    <xsd:element name="SHPO_RevisionDelay" ma:index="16" nillable="true" ma:displayName="Délai de révision" ma:default="365" ma:description="Délai de révision selon la classification du document" ma:internalName="SHPO_RevisionDelay" ma:readOnly="true">
      <xsd:simpleType>
        <xsd:restriction base="dms:Number"/>
      </xsd:simpleType>
    </xsd:element>
    <xsd:element name="ma0804c19ff247a6a43ef5bfde48fcfb" ma:index="19" ma:taxonomy="true" ma:internalName="ma0804c19ff247a6a43ef5bfde48fcfb" ma:taxonomyFieldName="Nature" ma:displayName="Nature" ma:indexed="true" ma:default="1;#Document|f926a2be-6740-4577-ba49-e4b230c74a1c" ma:fieldId="{6a0804c1-9ff2-47a6-a43e-f5bfde48fcfb}" ma:sspId="f6b5f850-50cb-46d6-8dd8-bdb5aeee437c" ma:termSetId="8dbe4afc-678c-4167-a296-bde03c53c5ce" ma:anchorId="00000000-0000-0000-0000-000000000000" ma:open="false" ma:isKeyword="false">
      <xsd:complexType>
        <xsd:sequence>
          <xsd:element ref="pc:Terms" minOccurs="0" maxOccurs="1"/>
        </xsd:sequence>
      </xsd:complexType>
    </xsd:element>
    <xsd:element name="d14b51bacc7a476d8ec07ff7276856b9" ma:index="22" nillable="true" ma:taxonomy="true" ma:internalName="d14b51bacc7a476d8ec07ff7276856b9" ma:taxonomyFieldName="ROBIN" ma:displayName="ROBIN" ma:indexed="true" ma:fieldId="{d14b51ba-cc7a-476d-8ec0-7ff7276856b9}" ma:sspId="f6b5f850-50cb-46d6-8dd8-bdb5aeee437c" ma:termSetId="8519d0aa-f887-4b22-82ec-06f9900e4831" ma:anchorId="00000000-0000-0000-0000-000000000000" ma:open="false" ma:isKeyword="false">
      <xsd:complexType>
        <xsd:sequence>
          <xsd:element ref="pc:Terms" minOccurs="0" maxOccurs="1"/>
        </xsd:sequence>
      </xsd:complexType>
    </xsd:element>
    <xsd:element name="pddda2e5d5a7426094f7ee8c6258f199" ma:index="24" ma:taxonomy="true" ma:internalName="pddda2e5d5a7426094f7ee8c6258f199" ma:taxonomyFieldName="Classification" ma:displayName="Classification" ma:indexed="true" ma:fieldId="{9ddda2e5-d5a7-4260-94f7-ee8c6258f199}" ma:sspId="f6b5f850-50cb-46d6-8dd8-bdb5aeee437c" ma:termSetId="79a668a4-8950-49d8-972b-fe62befceb68" ma:anchorId="00000000-0000-0000-0000-000000000000" ma:open="false" ma:isKeyword="false">
      <xsd:complexType>
        <xsd:sequence>
          <xsd:element ref="pc:Terms" minOccurs="0" maxOccurs="1"/>
        </xsd:sequence>
      </xsd:complexType>
    </xsd:element>
    <xsd:element name="m2945b1e41a346f6b58dec288b2d89fe" ma:index="26" nillable="true" ma:taxonomy="true" ma:internalName="m2945b1e41a346f6b58dec288b2d89fe" ma:taxonomyFieldName="Mots_x0020_cl_x00e9_s" ma:displayName="Mots clés" ma:fieldId="{62945b1e-41a3-46f6-b58d-ec288b2d89fe}" ma:taxonomyMulti="true" ma:sspId="f6b5f850-50cb-46d6-8dd8-bdb5aeee437c" ma:termSetId="67c99124-1596-4e83-9d1a-14577aa671a9"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7"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15" ma:displayName="Auteur"/>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ma:index="28" ma:displayName="Objet"/>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444596-9B37-41A1-AEB1-F961B0949E00}">
  <ds:schemaRefs>
    <ds:schemaRef ds:uri="http://schemas.microsoft.com/sharepoint/v3/contenttype/forms"/>
  </ds:schemaRefs>
</ds:datastoreItem>
</file>

<file path=customXml/itemProps2.xml><?xml version="1.0" encoding="utf-8"?>
<ds:datastoreItem xmlns:ds="http://schemas.openxmlformats.org/officeDocument/2006/customXml" ds:itemID="{52826C26-A319-4314-B994-1E54913D4B8C}">
  <ds:schemaRefs>
    <ds:schemaRef ds:uri="http://schemas.microsoft.com/sharepoint/v3"/>
    <ds:schemaRef ds:uri="http://www.w3.org/XML/1998/namespace"/>
    <ds:schemaRef ds:uri="http://purl.org/dc/elements/1.1/"/>
    <ds:schemaRef ds:uri="http://schemas.microsoft.com/office/2006/documentManagement/types"/>
    <ds:schemaRef ds:uri="http://purl.org/dc/terms/"/>
    <ds:schemaRef ds:uri="http://schemas.microsoft.com/office/infopath/2007/PartnerControls"/>
    <ds:schemaRef ds:uri="http://schemas.openxmlformats.org/package/2006/metadata/core-properties"/>
    <ds:schemaRef ds:uri="http://purl.org/dc/dcmitype/"/>
    <ds:schemaRef ds:uri="4144ee1e-1391-4e26-a698-d36c1b607dfd"/>
    <ds:schemaRef ds:uri="http://schemas.microsoft.com/sharepoint/v4"/>
    <ds:schemaRef ds:uri="1025ee89-a1ef-4dcf-8a67-bdfe60321d9a"/>
    <ds:schemaRef ds:uri="http://schemas.microsoft.com/office/2006/metadata/properties"/>
  </ds:schemaRefs>
</ds:datastoreItem>
</file>

<file path=customXml/itemProps3.xml><?xml version="1.0" encoding="utf-8"?>
<ds:datastoreItem xmlns:ds="http://schemas.openxmlformats.org/officeDocument/2006/customXml" ds:itemID="{5FB2FA24-6CAE-46D0-8C49-B57405E02639}">
  <ds:schemaRefs>
    <ds:schemaRef ds:uri="http://schemas.microsoft.com/sharepoint/events"/>
  </ds:schemaRefs>
</ds:datastoreItem>
</file>

<file path=customXml/itemProps4.xml><?xml version="1.0" encoding="utf-8"?>
<ds:datastoreItem xmlns:ds="http://schemas.openxmlformats.org/officeDocument/2006/customXml" ds:itemID="{0A0F1BBF-2813-4182-B3C7-3E8DC16783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1025ee89-a1ef-4dcf-8a67-bdfe60321d9a"/>
    <ds:schemaRef ds:uri="4144ee1e-1391-4e26-a698-d36c1b607dfd"/>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Composants</vt:lpstr>
      <vt:lpstr>Poids</vt:lpstr>
      <vt:lpstr>List Of 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2020-11-19T15:08:25Z</dcterms:created>
  <dcterms:modified xsi:type="dcterms:W3CDTF">2021-08-31T10:04:19Z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0x01010068E49C3201AD8946B776DFA00350EA06</vt:lpwstr>
  </property>
  <property fmtid="{D5CDD505-2E9C-101B-9397-08002B2CF9AE}" pid="3" name="MSIP_Label_812e1ed0-4700-41e0-aec3-61ed249f3333_Enabled">
    <vt:lpwstr>true</vt:lpwstr>
  </property>
  <property fmtid="{D5CDD505-2E9C-101B-9397-08002B2CF9AE}" pid="4" name="MSIP_Label_812e1ed0-4700-41e0-aec3-61ed249f3333_SetDate">
    <vt:lpwstr>2021-02-03T07:58:38Z</vt:lpwstr>
  </property>
  <property fmtid="{D5CDD505-2E9C-101B-9397-08002B2CF9AE}" pid="5" name="MSIP_Label_812e1ed0-4700-41e0-aec3-61ed249f3333_Method">
    <vt:lpwstr>Standard</vt:lpwstr>
  </property>
  <property fmtid="{D5CDD505-2E9C-101B-9397-08002B2CF9AE}" pid="6" name="MSIP_Label_812e1ed0-4700-41e0-aec3-61ed249f3333_Name">
    <vt:lpwstr>Internal - Standard</vt:lpwstr>
  </property>
  <property fmtid="{D5CDD505-2E9C-101B-9397-08002B2CF9AE}" pid="7" name="MSIP_Label_812e1ed0-4700-41e0-aec3-61ed249f3333_SiteId">
    <vt:lpwstr>614f9c25-bffa-42c7-86d8-964101f55fa2</vt:lpwstr>
  </property>
  <property fmtid="{D5CDD505-2E9C-101B-9397-08002B2CF9AE}" pid="8" name="MSIP_Label_812e1ed0-4700-41e0-aec3-61ed249f3333_ActionId">
    <vt:lpwstr>2a4b3499-c078-4e66-9bfa-f91bc64ab0d0</vt:lpwstr>
  </property>
  <property fmtid="{D5CDD505-2E9C-101B-9397-08002B2CF9AE}" pid="9" name="MSIP_Label_812e1ed0-4700-41e0-aec3-61ed249f3333_ContentBits">
    <vt:lpwstr>2</vt:lpwstr>
  </property>
  <property fmtid="{D5CDD505-2E9C-101B-9397-08002B2CF9AE}" pid="10" name="Mots clés">
    <vt:lpwstr/>
  </property>
  <property fmtid="{D5CDD505-2E9C-101B-9397-08002B2CF9AE}" pid="11" name="Nature">
    <vt:lpwstr>1;#Document|f926a2be-6740-4577-ba49-e4b230c74a1c</vt:lpwstr>
  </property>
  <property fmtid="{D5CDD505-2E9C-101B-9397-08002B2CF9AE}" pid="12" name="ROBIN">
    <vt:lpwstr/>
  </property>
  <property fmtid="{D5CDD505-2E9C-101B-9397-08002B2CF9AE}" pid="13" name="_dlc_DocIdItemGuid">
    <vt:lpwstr>5e2364b9-c2a8-432a-8d3d-5f60560938eb</vt:lpwstr>
  </property>
  <property fmtid="{D5CDD505-2E9C-101B-9397-08002B2CF9AE}" pid="14" name="Classification">
    <vt:lpwstr>2;#10 - Interne|88571201-3d77-41d7-bf2a-abb247897d97</vt:lpwstr>
  </property>
</Properties>
</file>